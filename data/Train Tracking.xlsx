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arvestmidstreamcompany-my.sharepoint.com/personal/eric_clugy_harvestmidstream_com/Documents/Final_R_Project_2026/Final_R_Project_2026/data/"/>
    </mc:Choice>
  </mc:AlternateContent>
  <xr:revisionPtr revIDLastSave="0" documentId="8_{D1478141-630C-4CC7-B83F-22616920C6C2}" xr6:coauthVersionLast="47" xr6:coauthVersionMax="47" xr10:uidLastSave="{00000000-0000-0000-0000-000000000000}"/>
  <bookViews>
    <workbookView xWindow="28680" yWindow="-120" windowWidth="29040" windowHeight="15720" xr2:uid="{F1005F65-DA1D-41C1-82D9-01950766B96A}"/>
  </bookViews>
  <sheets>
    <sheet name="Train Data" sheetId="1" r:id="rId1"/>
    <sheet name="Pivot Charts" sheetId="3" r:id="rId2"/>
    <sheet name="Central Tendency" sheetId="6" r:id="rId3"/>
  </sheets>
  <calcPr calcId="191028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6" l="1"/>
  <c r="D130" i="6"/>
  <c r="C91" i="6"/>
  <c r="D91" i="6" s="1"/>
  <c r="C65" i="6"/>
  <c r="D65" i="6" s="1"/>
  <c r="C115" i="6"/>
  <c r="D115" i="6" s="1"/>
  <c r="C23" i="6"/>
  <c r="D23" i="6" s="1"/>
  <c r="C126" i="6"/>
  <c r="D126" i="6" s="1"/>
  <c r="C79" i="6"/>
  <c r="D79" i="6" s="1"/>
  <c r="C12" i="6"/>
  <c r="D12" i="6" s="1"/>
  <c r="C13" i="6"/>
  <c r="D13" i="6" s="1"/>
  <c r="C51" i="6"/>
  <c r="D51" i="6" s="1"/>
  <c r="C14" i="6"/>
  <c r="D14" i="6" s="1"/>
  <c r="C101" i="6"/>
  <c r="D101" i="6" s="1"/>
  <c r="C39" i="6"/>
  <c r="D39" i="6" s="1"/>
  <c r="C129" i="6"/>
  <c r="D129" i="6" s="1"/>
  <c r="C80" i="6"/>
  <c r="D80" i="6" s="1"/>
  <c r="C24" i="6"/>
  <c r="D24" i="6" s="1"/>
  <c r="C118" i="6"/>
  <c r="D118" i="6" s="1"/>
  <c r="C92" i="6"/>
  <c r="D92" i="6" s="1"/>
  <c r="C40" i="6"/>
  <c r="D40" i="6" s="1"/>
  <c r="C81" i="6"/>
  <c r="D81" i="6" s="1"/>
  <c r="C15" i="6"/>
  <c r="D15" i="6" s="1"/>
  <c r="C127" i="6"/>
  <c r="D127" i="6" s="1"/>
  <c r="C93" i="6"/>
  <c r="D93" i="6" s="1"/>
  <c r="C52" i="6"/>
  <c r="D52" i="6" s="1"/>
  <c r="C7" i="6"/>
  <c r="D7" i="6" s="1"/>
  <c r="C82" i="6"/>
  <c r="D82" i="6" s="1"/>
  <c r="C66" i="6"/>
  <c r="D66" i="6" s="1"/>
  <c r="C125" i="6"/>
  <c r="D125" i="6" s="1"/>
  <c r="C83" i="6"/>
  <c r="D83" i="6" s="1"/>
  <c r="C67" i="6"/>
  <c r="D67" i="6" s="1"/>
  <c r="C68" i="6"/>
  <c r="D68" i="6" s="1"/>
  <c r="C25" i="6"/>
  <c r="D25" i="6" s="1"/>
  <c r="C26" i="6"/>
  <c r="D26" i="6" s="1"/>
  <c r="C27" i="6"/>
  <c r="D27" i="6" s="1"/>
  <c r="C128" i="6"/>
  <c r="D128" i="6" s="1"/>
  <c r="C53" i="6"/>
  <c r="D53" i="6" s="1"/>
  <c r="C8" i="6"/>
  <c r="D8" i="6" s="1"/>
  <c r="C41" i="6"/>
  <c r="D41" i="6" s="1"/>
  <c r="C54" i="6"/>
  <c r="D54" i="6" s="1"/>
  <c r="C55" i="6"/>
  <c r="D55" i="6" s="1"/>
  <c r="C28" i="6"/>
  <c r="D28" i="6" s="1"/>
  <c r="C56" i="6"/>
  <c r="D56" i="6" s="1"/>
  <c r="C69" i="6"/>
  <c r="D69" i="6" s="1"/>
  <c r="C116" i="6"/>
  <c r="D116" i="6" s="1"/>
  <c r="C84" i="6"/>
  <c r="D84" i="6" s="1"/>
  <c r="C29" i="6"/>
  <c r="D29" i="6" s="1"/>
  <c r="C42" i="6"/>
  <c r="D42" i="6" s="1"/>
  <c r="C110" i="6"/>
  <c r="D110" i="6" s="1"/>
  <c r="C70" i="6"/>
  <c r="D70" i="6" s="1"/>
  <c r="C71" i="6"/>
  <c r="D71" i="6" s="1"/>
  <c r="C94" i="6"/>
  <c r="D94" i="6" s="1"/>
  <c r="C85" i="6"/>
  <c r="D85" i="6" s="1"/>
  <c r="C43" i="6"/>
  <c r="D43" i="6" s="1"/>
  <c r="C86" i="6"/>
  <c r="D86" i="6" s="1"/>
  <c r="C95" i="6"/>
  <c r="D95" i="6" s="1"/>
  <c r="C44" i="6"/>
  <c r="D44" i="6" s="1"/>
  <c r="C45" i="6"/>
  <c r="D45" i="6" s="1"/>
  <c r="C30" i="6"/>
  <c r="D30" i="6" s="1"/>
  <c r="C72" i="6"/>
  <c r="D72" i="6" s="1"/>
  <c r="C111" i="6"/>
  <c r="D111" i="6" s="1"/>
  <c r="C73" i="6"/>
  <c r="D73" i="6" s="1"/>
  <c r="C16" i="6"/>
  <c r="D16" i="6" s="1"/>
  <c r="C74" i="6"/>
  <c r="D74" i="6" s="1"/>
  <c r="C57" i="6"/>
  <c r="D57" i="6" s="1"/>
  <c r="C58" i="6"/>
  <c r="D58" i="6" s="1"/>
  <c r="C46" i="6"/>
  <c r="D46" i="6" s="1"/>
  <c r="C87" i="6"/>
  <c r="D87" i="6" s="1"/>
  <c r="C17" i="6"/>
  <c r="D17" i="6" s="1"/>
  <c r="C96" i="6"/>
  <c r="D96" i="6" s="1"/>
  <c r="C9" i="6"/>
  <c r="D9" i="6" s="1"/>
  <c r="C31" i="6"/>
  <c r="D31" i="6" s="1"/>
  <c r="C32" i="6"/>
  <c r="D32" i="6" s="1"/>
  <c r="C33" i="6"/>
  <c r="D33" i="6" s="1"/>
  <c r="C34" i="6"/>
  <c r="D34" i="6" s="1"/>
  <c r="C75" i="6"/>
  <c r="D75" i="6" s="1"/>
  <c r="C35" i="6"/>
  <c r="D35" i="6" s="1"/>
  <c r="C88" i="6"/>
  <c r="D88" i="6" s="1"/>
  <c r="C47" i="6"/>
  <c r="D47" i="6" s="1"/>
  <c r="C59" i="6"/>
  <c r="D59" i="6" s="1"/>
  <c r="C18" i="6"/>
  <c r="D18" i="6" s="1"/>
  <c r="C3" i="6"/>
  <c r="D3" i="6" s="1"/>
  <c r="C10" i="6"/>
  <c r="D10" i="6" s="1"/>
  <c r="C36" i="6"/>
  <c r="D36" i="6" s="1"/>
  <c r="C4" i="6"/>
  <c r="D4" i="6" s="1"/>
  <c r="C5" i="6"/>
  <c r="D5" i="6" s="1"/>
  <c r="C19" i="6"/>
  <c r="D19" i="6" s="1"/>
  <c r="C48" i="6"/>
  <c r="D48" i="6" s="1"/>
  <c r="C20" i="6"/>
  <c r="D20" i="6" s="1"/>
  <c r="C6" i="6"/>
  <c r="D6" i="6" s="1"/>
  <c r="C37" i="6"/>
  <c r="D37" i="6" s="1"/>
  <c r="C76" i="6"/>
  <c r="D76" i="6" s="1"/>
  <c r="C38" i="6"/>
  <c r="D38" i="6" s="1"/>
  <c r="C89" i="6"/>
  <c r="D89" i="6" s="1"/>
  <c r="C112" i="6"/>
  <c r="D112" i="6" s="1"/>
  <c r="C97" i="6"/>
  <c r="D97" i="6" s="1"/>
  <c r="C90" i="6"/>
  <c r="D90" i="6" s="1"/>
  <c r="C113" i="6"/>
  <c r="D113" i="6" s="1"/>
  <c r="C105" i="6"/>
  <c r="D105" i="6" s="1"/>
  <c r="C102" i="6"/>
  <c r="D102" i="6" s="1"/>
  <c r="C60" i="6"/>
  <c r="D60" i="6" s="1"/>
  <c r="C98" i="6"/>
  <c r="D98" i="6" s="1"/>
  <c r="C106" i="6"/>
  <c r="D106" i="6" s="1"/>
  <c r="C103" i="6"/>
  <c r="D103" i="6" s="1"/>
  <c r="C119" i="6"/>
  <c r="D119" i="6" s="1"/>
  <c r="C122" i="6"/>
  <c r="D122" i="6" s="1"/>
  <c r="C120" i="6"/>
  <c r="D120" i="6" s="1"/>
  <c r="C107" i="6"/>
  <c r="D107" i="6" s="1"/>
  <c r="C61" i="6"/>
  <c r="D61" i="6" s="1"/>
  <c r="C62" i="6"/>
  <c r="D62" i="6" s="1"/>
  <c r="C49" i="6"/>
  <c r="D49" i="6" s="1"/>
  <c r="C104" i="6"/>
  <c r="D104" i="6" s="1"/>
  <c r="C108" i="6"/>
  <c r="D108" i="6" s="1"/>
  <c r="C77" i="6"/>
  <c r="D77" i="6" s="1"/>
  <c r="C21" i="6"/>
  <c r="D21" i="6" s="1"/>
  <c r="C2" i="6"/>
  <c r="D2" i="6" s="1"/>
  <c r="C123" i="6"/>
  <c r="D123" i="6" s="1"/>
  <c r="C109" i="6"/>
  <c r="D109" i="6" s="1"/>
  <c r="C63" i="6"/>
  <c r="D63" i="6" s="1"/>
  <c r="C99" i="6"/>
  <c r="D99" i="6" s="1"/>
  <c r="C50" i="6"/>
  <c r="D50" i="6" s="1"/>
  <c r="C64" i="6"/>
  <c r="D64" i="6" s="1"/>
  <c r="C124" i="6"/>
  <c r="D124" i="6" s="1"/>
  <c r="C121" i="6"/>
  <c r="D121" i="6" s="1"/>
  <c r="C78" i="6"/>
  <c r="D78" i="6" s="1"/>
  <c r="C11" i="6"/>
  <c r="D11" i="6" s="1"/>
  <c r="C114" i="6"/>
  <c r="D114" i="6" s="1"/>
  <c r="C100" i="6"/>
  <c r="D100" i="6" s="1"/>
  <c r="C117" i="6"/>
  <c r="D117" i="6" s="1"/>
  <c r="C22" i="6"/>
  <c r="D22" i="6" s="1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11" i="6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  <c r="I11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6" i="1"/>
  <c r="I17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</calcChain>
</file>

<file path=xl/sharedStrings.xml><?xml version="1.0" encoding="utf-8"?>
<sst xmlns="http://schemas.openxmlformats.org/spreadsheetml/2006/main" count="426" uniqueCount="39">
  <si>
    <t>Column Labels</t>
  </si>
  <si>
    <t>Row Labels</t>
  </si>
  <si>
    <t>Grand Total</t>
  </si>
  <si>
    <t>Shipper</t>
  </si>
  <si>
    <t>Train</t>
  </si>
  <si>
    <t>Destination</t>
  </si>
  <si>
    <t>State</t>
  </si>
  <si>
    <t>Washington</t>
  </si>
  <si>
    <t>Ferndale</t>
  </si>
  <si>
    <t>Oregon</t>
  </si>
  <si>
    <t>End Time</t>
  </si>
  <si>
    <t>Start Time</t>
  </si>
  <si>
    <t>Hours</t>
  </si>
  <si>
    <t>Cars</t>
  </si>
  <si>
    <t>Remarks</t>
  </si>
  <si>
    <t>33 cars loaded 2/18-2/19 37 hrs; 73 cars loaded 2/24 47 hrs</t>
  </si>
  <si>
    <t>17 cars loaded 3/5 6 hrs; 89 cars loaded 3/11 25 hrs</t>
  </si>
  <si>
    <t>5 cars loaded 5/19 1hr; 4 cars loaded 5/21 1 hr; 97 cars loaded 5/25 21 hrs</t>
  </si>
  <si>
    <t>Loaded across months.</t>
  </si>
  <si>
    <t>Load Month</t>
  </si>
  <si>
    <t>Load Time</t>
  </si>
  <si>
    <t>Mean:</t>
  </si>
  <si>
    <t>Mode:</t>
  </si>
  <si>
    <t>Median:</t>
  </si>
  <si>
    <t>Std Deviation:</t>
  </si>
  <si>
    <t>Deviation</t>
  </si>
  <si>
    <t>Squared Deviation</t>
  </si>
  <si>
    <t>Volume (BBLS)</t>
  </si>
  <si>
    <t>Sum of Volume (BBLS)</t>
  </si>
  <si>
    <t>Count of Volume (BBLS)</t>
  </si>
  <si>
    <t>Refiner A</t>
  </si>
  <si>
    <t xml:space="preserve">Refiner B </t>
  </si>
  <si>
    <t>Refiner C</t>
  </si>
  <si>
    <t>Refiner D</t>
  </si>
  <si>
    <t>Refinery A</t>
  </si>
  <si>
    <t>Refinery B</t>
  </si>
  <si>
    <t>Refinery C</t>
  </si>
  <si>
    <t>Refinery D</t>
  </si>
  <si>
    <t>Refinery C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</si>
</sst>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/d/yy\ h:mm;@"/>
    <numFmt numFmtId="165" formatCode="mmmm\ yy"/>
    <numFmt numFmtId="166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0" fontId="0" fillId="0" borderId="0" xfId="0" pivotButton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166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4">
    <dxf>
      <numFmt numFmtId="2" formatCode="0.00"/>
    </dxf>
    <dxf>
      <numFmt numFmtId="165" formatCode="mmmm\ 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Tracking.xlsx]Pivot Charts!Volume_Pivot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Charts'!$B$1:$B$2</c:f>
              <c:strCache>
                <c:ptCount val="1"/>
                <c:pt idx="0">
                  <c:v>Refiner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Charts'!$A$3:$A$15</c:f>
              <c:strCache>
                <c:ptCount val="12"/>
                <c:pt idx="0">
                  <c:v>January 25</c:v>
                </c:pt>
                <c:pt idx="1">
                  <c:v>February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August 25</c:v>
                </c:pt>
                <c:pt idx="8">
                  <c:v>September 25</c:v>
                </c:pt>
                <c:pt idx="9">
                  <c:v>October 25</c:v>
                </c:pt>
                <c:pt idx="10">
                  <c:v>November 25</c:v>
                </c:pt>
                <c:pt idx="11">
                  <c:v>December 25</c:v>
                </c:pt>
              </c:strCache>
            </c:strRef>
          </c:cat>
          <c:val>
            <c:numRef>
              <c:f>'Pivot Charts'!$B$3:$B$15</c:f>
              <c:numCache>
                <c:formatCode>_(* #,##0.00_);_(* \(#,##0.00\);_(* "-"??_);_(@_)</c:formatCode>
                <c:ptCount val="12"/>
                <c:pt idx="0">
                  <c:v>626393.24999999988</c:v>
                </c:pt>
                <c:pt idx="1">
                  <c:v>421776.02000000008</c:v>
                </c:pt>
                <c:pt idx="2">
                  <c:v>640949.75</c:v>
                </c:pt>
                <c:pt idx="3">
                  <c:v>570370.17999999993</c:v>
                </c:pt>
                <c:pt idx="4">
                  <c:v>636837.92999999993</c:v>
                </c:pt>
                <c:pt idx="5">
                  <c:v>354766.28</c:v>
                </c:pt>
                <c:pt idx="6">
                  <c:v>283650.61</c:v>
                </c:pt>
                <c:pt idx="7">
                  <c:v>499883.55999999988</c:v>
                </c:pt>
                <c:pt idx="8">
                  <c:v>711220.17</c:v>
                </c:pt>
                <c:pt idx="9">
                  <c:v>783598.99999999988</c:v>
                </c:pt>
                <c:pt idx="10">
                  <c:v>768717.52</c:v>
                </c:pt>
                <c:pt idx="11">
                  <c:v>685072.54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6-403A-8550-65A438D77C78}"/>
            </c:ext>
          </c:extLst>
        </c:ser>
        <c:ser>
          <c:idx val="1"/>
          <c:order val="1"/>
          <c:tx>
            <c:strRef>
              <c:f>'Pivot Charts'!$C$1:$C$2</c:f>
              <c:strCache>
                <c:ptCount val="1"/>
                <c:pt idx="0">
                  <c:v>Refiner 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Charts'!$A$3:$A$15</c:f>
              <c:strCache>
                <c:ptCount val="12"/>
                <c:pt idx="0">
                  <c:v>January 25</c:v>
                </c:pt>
                <c:pt idx="1">
                  <c:v>February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August 25</c:v>
                </c:pt>
                <c:pt idx="8">
                  <c:v>September 25</c:v>
                </c:pt>
                <c:pt idx="9">
                  <c:v>October 25</c:v>
                </c:pt>
                <c:pt idx="10">
                  <c:v>November 25</c:v>
                </c:pt>
                <c:pt idx="11">
                  <c:v>December 25</c:v>
                </c:pt>
              </c:strCache>
            </c:strRef>
          </c:cat>
          <c:val>
            <c:numRef>
              <c:f>'Pivot Charts'!$C$3:$C$15</c:f>
              <c:numCache>
                <c:formatCode>_(* #,##0.00_);_(* \(#,##0.00\);_(* "-"??_);_(@_)</c:formatCode>
                <c:ptCount val="12"/>
                <c:pt idx="5">
                  <c:v>139073.24</c:v>
                </c:pt>
                <c:pt idx="8">
                  <c:v>68998.55</c:v>
                </c:pt>
                <c:pt idx="11">
                  <c:v>60979.49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6-403A-8550-65A438D77C78}"/>
            </c:ext>
          </c:extLst>
        </c:ser>
        <c:ser>
          <c:idx val="2"/>
          <c:order val="2"/>
          <c:tx>
            <c:strRef>
              <c:f>'Pivot Charts'!$D$1:$D$2</c:f>
              <c:strCache>
                <c:ptCount val="1"/>
                <c:pt idx="0">
                  <c:v>Refiner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Charts'!$A$3:$A$15</c:f>
              <c:strCache>
                <c:ptCount val="12"/>
                <c:pt idx="0">
                  <c:v>January 25</c:v>
                </c:pt>
                <c:pt idx="1">
                  <c:v>February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August 25</c:v>
                </c:pt>
                <c:pt idx="8">
                  <c:v>September 25</c:v>
                </c:pt>
                <c:pt idx="9">
                  <c:v>October 25</c:v>
                </c:pt>
                <c:pt idx="10">
                  <c:v>November 25</c:v>
                </c:pt>
                <c:pt idx="11">
                  <c:v>December 25</c:v>
                </c:pt>
              </c:strCache>
            </c:strRef>
          </c:cat>
          <c:val>
            <c:numRef>
              <c:f>'Pivot Charts'!$D$3:$D$15</c:f>
              <c:numCache>
                <c:formatCode>_(* #,##0.00_);_(* \(#,##0.00\);_(* "-"??_);_(@_)</c:formatCode>
                <c:ptCount val="12"/>
                <c:pt idx="5">
                  <c:v>116764.94</c:v>
                </c:pt>
                <c:pt idx="6">
                  <c:v>196311.8</c:v>
                </c:pt>
                <c:pt idx="7">
                  <c:v>332830.91000000003</c:v>
                </c:pt>
                <c:pt idx="8">
                  <c:v>194006.46000000002</c:v>
                </c:pt>
                <c:pt idx="9">
                  <c:v>202757.05</c:v>
                </c:pt>
                <c:pt idx="10">
                  <c:v>209165.2</c:v>
                </c:pt>
                <c:pt idx="11">
                  <c:v>190080.73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6-403A-8550-65A438D77C78}"/>
            </c:ext>
          </c:extLst>
        </c:ser>
        <c:ser>
          <c:idx val="3"/>
          <c:order val="3"/>
          <c:tx>
            <c:strRef>
              <c:f>'Pivot Charts'!$E$1:$E$2</c:f>
              <c:strCache>
                <c:ptCount val="1"/>
                <c:pt idx="0">
                  <c:v>Refiner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Charts'!$A$3:$A$15</c:f>
              <c:strCache>
                <c:ptCount val="12"/>
                <c:pt idx="0">
                  <c:v>January 25</c:v>
                </c:pt>
                <c:pt idx="1">
                  <c:v>February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August 25</c:v>
                </c:pt>
                <c:pt idx="8">
                  <c:v>September 25</c:v>
                </c:pt>
                <c:pt idx="9">
                  <c:v>October 25</c:v>
                </c:pt>
                <c:pt idx="10">
                  <c:v>November 25</c:v>
                </c:pt>
                <c:pt idx="11">
                  <c:v>December 25</c:v>
                </c:pt>
              </c:strCache>
            </c:strRef>
          </c:cat>
          <c:val>
            <c:numRef>
              <c:f>'Pivot Charts'!$E$3:$E$15</c:f>
              <c:numCache>
                <c:formatCode>_(* #,##0.00_);_(* \(#,##0.00\);_(* "-"??_);_(@_)</c:formatCode>
                <c:ptCount val="12"/>
                <c:pt idx="5">
                  <c:v>128401.75</c:v>
                </c:pt>
                <c:pt idx="6">
                  <c:v>61389.59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96-403A-8550-65A438D77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19389008"/>
        <c:axId val="319389488"/>
      </c:barChart>
      <c:catAx>
        <c:axId val="31938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89488"/>
        <c:crosses val="autoZero"/>
        <c:auto val="1"/>
        <c:lblAlgn val="ctr"/>
        <c:lblOffset val="100"/>
        <c:noMultiLvlLbl val="0"/>
      </c:catAx>
      <c:valAx>
        <c:axId val="31938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8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Tracking.xlsx]Pivot Charts!Count_Pivot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Charts'!$B$26:$B$27</c:f>
              <c:strCache>
                <c:ptCount val="1"/>
                <c:pt idx="0">
                  <c:v>Refiner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Charts'!$A$28:$A$40</c:f>
              <c:strCache>
                <c:ptCount val="12"/>
                <c:pt idx="0">
                  <c:v>January 25</c:v>
                </c:pt>
                <c:pt idx="1">
                  <c:v>February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August 25</c:v>
                </c:pt>
                <c:pt idx="8">
                  <c:v>September 25</c:v>
                </c:pt>
                <c:pt idx="9">
                  <c:v>October 25</c:v>
                </c:pt>
                <c:pt idx="10">
                  <c:v>November 25</c:v>
                </c:pt>
                <c:pt idx="11">
                  <c:v>December 25</c:v>
                </c:pt>
              </c:strCache>
            </c:strRef>
          </c:cat>
          <c:val>
            <c:numRef>
              <c:f>'Pivot Charts'!$B$28:$B$40</c:f>
              <c:numCache>
                <c:formatCode>General</c:formatCode>
                <c:ptCount val="12"/>
                <c:pt idx="0">
                  <c:v>9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7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3-4033-9199-6AB3C0D8BC30}"/>
            </c:ext>
          </c:extLst>
        </c:ser>
        <c:ser>
          <c:idx val="1"/>
          <c:order val="1"/>
          <c:tx>
            <c:strRef>
              <c:f>'Pivot Charts'!$C$26:$C$27</c:f>
              <c:strCache>
                <c:ptCount val="1"/>
                <c:pt idx="0">
                  <c:v>Refiner 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Charts'!$A$28:$A$40</c:f>
              <c:strCache>
                <c:ptCount val="12"/>
                <c:pt idx="0">
                  <c:v>January 25</c:v>
                </c:pt>
                <c:pt idx="1">
                  <c:v>February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August 25</c:v>
                </c:pt>
                <c:pt idx="8">
                  <c:v>September 25</c:v>
                </c:pt>
                <c:pt idx="9">
                  <c:v>October 25</c:v>
                </c:pt>
                <c:pt idx="10">
                  <c:v>November 25</c:v>
                </c:pt>
                <c:pt idx="11">
                  <c:v>December 25</c:v>
                </c:pt>
              </c:strCache>
            </c:strRef>
          </c:cat>
          <c:val>
            <c:numRef>
              <c:f>'Pivot Charts'!$C$28:$C$40</c:f>
              <c:numCache>
                <c:formatCode>General</c:formatCode>
                <c:ptCount val="12"/>
                <c:pt idx="5">
                  <c:v>2</c:v>
                </c:pt>
                <c:pt idx="8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53-4033-9199-6AB3C0D8BC30}"/>
            </c:ext>
          </c:extLst>
        </c:ser>
        <c:ser>
          <c:idx val="2"/>
          <c:order val="2"/>
          <c:tx>
            <c:strRef>
              <c:f>'Pivot Charts'!$D$26:$D$27</c:f>
              <c:strCache>
                <c:ptCount val="1"/>
                <c:pt idx="0">
                  <c:v>Refiner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Charts'!$A$28:$A$40</c:f>
              <c:strCache>
                <c:ptCount val="12"/>
                <c:pt idx="0">
                  <c:v>January 25</c:v>
                </c:pt>
                <c:pt idx="1">
                  <c:v>February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August 25</c:v>
                </c:pt>
                <c:pt idx="8">
                  <c:v>September 25</c:v>
                </c:pt>
                <c:pt idx="9">
                  <c:v>October 25</c:v>
                </c:pt>
                <c:pt idx="10">
                  <c:v>November 25</c:v>
                </c:pt>
                <c:pt idx="11">
                  <c:v>December 25</c:v>
                </c:pt>
              </c:strCache>
            </c:strRef>
          </c:cat>
          <c:val>
            <c:numRef>
              <c:f>'Pivot Charts'!$D$28:$D$40</c:f>
              <c:numCache>
                <c:formatCode>General</c:formatCode>
                <c:ptCount val="12"/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53-4033-9199-6AB3C0D8BC30}"/>
            </c:ext>
          </c:extLst>
        </c:ser>
        <c:ser>
          <c:idx val="3"/>
          <c:order val="3"/>
          <c:tx>
            <c:strRef>
              <c:f>'Pivot Charts'!$E$26:$E$27</c:f>
              <c:strCache>
                <c:ptCount val="1"/>
                <c:pt idx="0">
                  <c:v>Refiner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Charts'!$A$28:$A$40</c:f>
              <c:strCache>
                <c:ptCount val="12"/>
                <c:pt idx="0">
                  <c:v>January 25</c:v>
                </c:pt>
                <c:pt idx="1">
                  <c:v>February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August 25</c:v>
                </c:pt>
                <c:pt idx="8">
                  <c:v>September 25</c:v>
                </c:pt>
                <c:pt idx="9">
                  <c:v>October 25</c:v>
                </c:pt>
                <c:pt idx="10">
                  <c:v>November 25</c:v>
                </c:pt>
                <c:pt idx="11">
                  <c:v>December 25</c:v>
                </c:pt>
              </c:strCache>
            </c:strRef>
          </c:cat>
          <c:val>
            <c:numRef>
              <c:f>'Pivot Charts'!$E$28:$E$40</c:f>
              <c:numCache>
                <c:formatCode>General</c:formatCode>
                <c:ptCount val="12"/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53-4033-9199-6AB3C0D8B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14642912"/>
        <c:axId val="1614644352"/>
      </c:barChart>
      <c:catAx>
        <c:axId val="161464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644352"/>
        <c:crosses val="autoZero"/>
        <c:auto val="1"/>
        <c:lblAlgn val="ctr"/>
        <c:lblOffset val="100"/>
        <c:noMultiLvlLbl val="0"/>
      </c:catAx>
      <c:valAx>
        <c:axId val="16146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64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17857</xdr:colOff>
      <xdr:row>0</xdr:row>
      <xdr:rowOff>0</xdr:rowOff>
    </xdr:from>
    <xdr:to>
      <xdr:col>14</xdr:col>
      <xdr:colOff>595312</xdr:colOff>
      <xdr:row>17</xdr:row>
      <xdr:rowOff>11907</xdr:rowOff>
    </xdr:to>
    <xdr:graphicFrame macro="">
      <xdr:nvGraphicFramePr>
        <xdr:cNvPr id="4" name="Tvol_chart">
          <a:extLst>
            <a:ext uri="{FF2B5EF4-FFF2-40B4-BE49-F238E27FC236}">
              <a16:creationId xmlns:a16="http://schemas.microsoft.com/office/drawing/2014/main" id="{A392B9D5-6BAE-B714-0039-A2CF0113D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188118</xdr:rowOff>
    </xdr:from>
    <xdr:to>
      <xdr:col>15</xdr:col>
      <xdr:colOff>0</xdr:colOff>
      <xdr:row>41</xdr:row>
      <xdr:rowOff>178594</xdr:rowOff>
    </xdr:to>
    <xdr:graphicFrame macro="">
      <xdr:nvGraphicFramePr>
        <xdr:cNvPr id="5" name="Tcount_chart">
          <a:extLst>
            <a:ext uri="{FF2B5EF4-FFF2-40B4-BE49-F238E27FC236}">
              <a16:creationId xmlns:a16="http://schemas.microsoft.com/office/drawing/2014/main" id="{376E1B08-9877-D542-3D45-3A76FFA7C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 Clugy" refreshedDate="46064.547523148147" createdVersion="8" refreshedVersion="8" minRefreshableVersion="3" recordCount="128" xr:uid="{993E0952-8C1E-4DE2-AE56-322A535B0879}">
  <cacheSource type="worksheet">
    <worksheetSource name="TrainData"/>
  </cacheSource>
  <cacheFields count="14">
    <cacheField name="Start Time" numFmtId="164">
      <sharedItems containsSemiMixedTypes="0" containsNonDate="0" containsDate="1" containsString="0" minDate="2025-01-01T21:29:00" maxDate="2025-12-28T08:52:00"/>
    </cacheField>
    <cacheField name="End Time" numFmtId="164">
      <sharedItems containsSemiMixedTypes="0" containsNonDate="0" containsDate="1" containsString="0" minDate="2025-01-02T18:40:00" maxDate="2025-12-29T14:50:00"/>
    </cacheField>
    <cacheField name="Load Month" numFmtId="165">
      <sharedItems containsSemiMixedTypes="0" containsNonDate="0" containsDate="1" containsString="0" minDate="2025-01-01T00:00:00" maxDate="2026-02-02T00:00:00" count="14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 u="1"/>
        <d v="2026-02-01T00:00:00" u="1"/>
      </sharedItems>
      <fieldGroup par="13"/>
    </cacheField>
    <cacheField name="Shipper" numFmtId="0">
      <sharedItems containsBlank="1" count="9">
        <s v="Refiner A"/>
        <s v="Refiner B "/>
        <s v="Refiner C"/>
        <s v="Refiner D"/>
        <s v="P66" u="1"/>
        <s v="BP " u="1"/>
        <s v="Marathon" u="1"/>
        <s v="US Oil" u="1"/>
        <m u="1"/>
      </sharedItems>
    </cacheField>
    <cacheField name="Train" numFmtId="0">
      <sharedItems containsSemiMixedTypes="0" containsString="0" containsNumber="1" containsInteger="1" minValue="1057" maxValue="1183"/>
    </cacheField>
    <cacheField name="Volume (BBLS)" numFmtId="43">
      <sharedItems containsSemiMixedTypes="0" containsString="0" containsNumber="1" minValue="29638.01" maxValue="73344.37"/>
    </cacheField>
    <cacheField name="Destination" numFmtId="0">
      <sharedItems/>
    </cacheField>
    <cacheField name="State" numFmtId="0">
      <sharedItems/>
    </cacheField>
    <cacheField name="Hours" numFmtId="2">
      <sharedItems containsSemiMixedTypes="0" containsString="0" containsNumber="1" containsInteger="1" minValue="9" maxValue="84"/>
    </cacheField>
    <cacheField name="Cars" numFmtId="0">
      <sharedItems containsSemiMixedTypes="0" containsString="0" containsNumber="1" containsInteger="1" minValue="44" maxValue="110"/>
    </cacheField>
    <cacheField name="Remarks" numFmtId="0">
      <sharedItems containsBlank="1"/>
    </cacheField>
    <cacheField name="Months (Load Month)" numFmtId="0" databaseField="0">
      <fieldGroup base="2">
        <rangePr groupBy="months" startDate="2025-01-01T00:00:00" endDate="2025-12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Quarters (Load Month)" numFmtId="0" databaseField="0">
      <fieldGroup base="2">
        <rangePr groupBy="quarters" startDate="2025-01-01T00:00:00" endDate="2025-12-02T00:00:00"/>
        <groupItems count="6">
          <s v="&lt;1/1/2025"/>
          <s v="Qtr1"/>
          <s v="Qtr2"/>
          <s v="Qtr3"/>
          <s v="Qtr4"/>
          <s v="&gt;12/2/2025"/>
        </groupItems>
      </fieldGroup>
    </cacheField>
    <cacheField name="Years (Load Month)" numFmtId="0" databaseField="0">
      <fieldGroup base="2">
        <rangePr groupBy="years" startDate="2025-01-01T00:00:00" endDate="2025-12-02T00:00:00"/>
        <groupItems count="3">
          <s v="&lt;1/1/2025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d v="2025-01-01T21:29:00"/>
    <d v="2025-01-02T18:40:00"/>
    <x v="0"/>
    <x v="0"/>
    <n v="1057"/>
    <n v="71654.710000000006"/>
    <s v="Refinery A"/>
    <s v="Washington"/>
    <n v="21"/>
    <n v="106"/>
    <m/>
  </r>
  <r>
    <d v="2025-01-05T16:51:00"/>
    <d v="2025-01-06T18:40:00"/>
    <x v="0"/>
    <x v="0"/>
    <n v="1058"/>
    <n v="65796.850000000006"/>
    <s v="Refinery A"/>
    <s v="Washington"/>
    <n v="26"/>
    <n v="97"/>
    <m/>
  </r>
  <r>
    <d v="2025-01-08T09:29:00"/>
    <d v="2025-01-09T09:53:00"/>
    <x v="0"/>
    <x v="0"/>
    <n v="1059"/>
    <n v="71823.12"/>
    <s v="Refinery A"/>
    <s v="Washington"/>
    <n v="24"/>
    <n v="106"/>
    <m/>
  </r>
  <r>
    <d v="2025-01-13T18:39:00"/>
    <d v="2025-01-15T00:35:00"/>
    <x v="0"/>
    <x v="0"/>
    <n v="1060"/>
    <n v="71964.5"/>
    <s v="Refinery A"/>
    <s v="Washington"/>
    <n v="30"/>
    <n v="106"/>
    <m/>
  </r>
  <r>
    <d v="2025-01-15T21:32:00"/>
    <d v="2025-01-16T18:46:00"/>
    <x v="0"/>
    <x v="0"/>
    <n v="1061"/>
    <n v="67051.05"/>
    <s v="Refinery A"/>
    <s v="Washington"/>
    <n v="21"/>
    <n v="99"/>
    <m/>
  </r>
  <r>
    <d v="2025-01-20T13:56:00"/>
    <d v="2025-01-22T00:15:00"/>
    <x v="0"/>
    <x v="0"/>
    <n v="1062"/>
    <n v="62938.32"/>
    <s v="Refinery A"/>
    <s v="Washington"/>
    <n v="34"/>
    <n v="97"/>
    <m/>
  </r>
  <r>
    <d v="2025-01-22T05:01:00"/>
    <d v="2025-01-23T06:13:00"/>
    <x v="0"/>
    <x v="0"/>
    <n v="1063"/>
    <n v="71846.399999999994"/>
    <s v="Refinery A"/>
    <s v="Washington"/>
    <n v="25"/>
    <n v="106"/>
    <m/>
  </r>
  <r>
    <d v="2025-01-26T20:16:00"/>
    <d v="2025-01-27T16:15:00"/>
    <x v="0"/>
    <x v="0"/>
    <n v="1064"/>
    <n v="71697.850000000006"/>
    <s v="Refinery A"/>
    <s v="Washington"/>
    <n v="20"/>
    <n v="106"/>
    <m/>
  </r>
  <r>
    <d v="2025-01-29T03:54:00"/>
    <d v="2025-01-29T23:29:00"/>
    <x v="0"/>
    <x v="0"/>
    <n v="1065"/>
    <n v="71620.45"/>
    <s v="Refinery A"/>
    <s v="Washington"/>
    <n v="20"/>
    <n v="106"/>
    <m/>
  </r>
  <r>
    <d v="2025-01-31T09:11:00"/>
    <d v="2025-02-01T08:20:00"/>
    <x v="1"/>
    <x v="0"/>
    <n v="1066"/>
    <n v="64246.17"/>
    <s v="Refinery A"/>
    <s v="Washington"/>
    <n v="23"/>
    <n v="99"/>
    <m/>
  </r>
  <r>
    <d v="2025-02-01T13:34:00"/>
    <d v="2025-02-02T09:53:00"/>
    <x v="1"/>
    <x v="0"/>
    <n v="1067"/>
    <n v="71476.3"/>
    <s v="Refinery A"/>
    <s v="Washington"/>
    <n v="20"/>
    <n v="106"/>
    <m/>
  </r>
  <r>
    <d v="2025-02-03T12:37:00"/>
    <d v="2025-02-04T15:46:00"/>
    <x v="1"/>
    <x v="0"/>
    <n v="1068"/>
    <n v="71618.990000000005"/>
    <s v="Refinery A"/>
    <s v="Washington"/>
    <n v="27"/>
    <n v="106"/>
    <m/>
  </r>
  <r>
    <d v="2025-02-14T07:54:00"/>
    <d v="2025-02-15T05:43:00"/>
    <x v="1"/>
    <x v="0"/>
    <n v="1069"/>
    <n v="72143.72"/>
    <s v="Refinery A"/>
    <s v="Washington"/>
    <n v="22"/>
    <n v="106"/>
    <m/>
  </r>
  <r>
    <d v="2025-02-18T00:52:00"/>
    <d v="2025-02-19T12:40:00"/>
    <x v="1"/>
    <x v="0"/>
    <n v="1070"/>
    <n v="71537.66"/>
    <s v="Refinery A"/>
    <s v="Washington"/>
    <n v="84"/>
    <n v="106"/>
    <s v="33 cars loaded 2/18-2/19 37 hrs; 73 cars loaded 2/24 47 hrs"/>
  </r>
  <r>
    <d v="2025-02-27T10:26:00"/>
    <d v="2025-02-28T10:57:00"/>
    <x v="1"/>
    <x v="0"/>
    <n v="1071"/>
    <n v="70753.179999999993"/>
    <s v="Refinery A"/>
    <s v="Washington"/>
    <n v="25"/>
    <n v="105"/>
    <m/>
  </r>
  <r>
    <d v="2025-03-01T12:59:00"/>
    <d v="2025-03-02T09:43:00"/>
    <x v="2"/>
    <x v="0"/>
    <n v="1072"/>
    <n v="69440.81"/>
    <s v="Refinery A"/>
    <s v="Washington"/>
    <n v="21"/>
    <n v="103"/>
    <m/>
  </r>
  <r>
    <d v="2025-03-05T20:50:00"/>
    <d v="2025-03-12T09:25:00"/>
    <x v="2"/>
    <x v="0"/>
    <n v="1073"/>
    <n v="71408.69"/>
    <s v="Refinery A"/>
    <s v="Washington"/>
    <n v="31"/>
    <n v="106"/>
    <s v="17 cars loaded 3/5 6 hrs; 89 cars loaded 3/11 25 hrs"/>
  </r>
  <r>
    <d v="2025-03-12T18:18:00"/>
    <d v="2025-03-13T20:03:00"/>
    <x v="2"/>
    <x v="0"/>
    <n v="1074"/>
    <n v="71369.73"/>
    <s v="Refinery A"/>
    <s v="Washington"/>
    <n v="26"/>
    <n v="106"/>
    <m/>
  </r>
  <r>
    <d v="2025-03-14T12:43:00"/>
    <d v="2025-03-15T10:57:00"/>
    <x v="2"/>
    <x v="0"/>
    <n v="1075"/>
    <n v="71335.23"/>
    <s v="Refinery A"/>
    <s v="Washington"/>
    <n v="22"/>
    <n v="106"/>
    <m/>
  </r>
  <r>
    <d v="2025-03-17T11:19:00"/>
    <d v="2025-03-18T12:20:00"/>
    <x v="2"/>
    <x v="0"/>
    <n v="1076"/>
    <n v="71470.03"/>
    <s v="Refinery A"/>
    <s v="Washington"/>
    <n v="25"/>
    <n v="106"/>
    <m/>
  </r>
  <r>
    <d v="2025-03-22T03:20:00"/>
    <d v="2025-03-22T23:19:00"/>
    <x v="2"/>
    <x v="0"/>
    <n v="1077"/>
    <n v="71401.23"/>
    <s v="Refinery A"/>
    <s v="Washington"/>
    <n v="20"/>
    <n v="106"/>
    <m/>
  </r>
  <r>
    <d v="2025-03-27T12:22:00"/>
    <d v="2025-03-28T23:57:00"/>
    <x v="2"/>
    <x v="0"/>
    <n v="1078"/>
    <n v="72108.179999999993"/>
    <s v="Refinery A"/>
    <s v="Washington"/>
    <n v="36"/>
    <n v="106"/>
    <m/>
  </r>
  <r>
    <d v="2025-03-29T19:46:00"/>
    <d v="2025-03-30T21:31:00"/>
    <x v="2"/>
    <x v="0"/>
    <n v="1079"/>
    <n v="70737.55"/>
    <s v="Refinery A"/>
    <s v="Washington"/>
    <n v="26"/>
    <n v="104"/>
    <m/>
  </r>
  <r>
    <d v="2025-03-31T01:57:00"/>
    <d v="2025-04-01T01:08:00"/>
    <x v="2"/>
    <x v="0"/>
    <n v="1080"/>
    <n v="71678.3"/>
    <s v="Refinery A"/>
    <s v="Washington"/>
    <n v="23"/>
    <n v="106"/>
    <m/>
  </r>
  <r>
    <d v="2025-04-02T08:17:00"/>
    <d v="2025-04-03T03:44:00"/>
    <x v="3"/>
    <x v="0"/>
    <n v="1081"/>
    <n v="71758.58"/>
    <s v="Refinery A"/>
    <s v="Washington"/>
    <n v="19"/>
    <n v="106"/>
    <m/>
  </r>
  <r>
    <d v="2025-04-05T11:24:00"/>
    <d v="2025-04-06T12:35:00"/>
    <x v="3"/>
    <x v="0"/>
    <n v="1082"/>
    <n v="71490.990000000005"/>
    <s v="Refinery A"/>
    <s v="Washington"/>
    <n v="25"/>
    <n v="106"/>
    <m/>
  </r>
  <r>
    <d v="2025-04-07T23:25:00"/>
    <d v="2025-04-08T23:43:00"/>
    <x v="3"/>
    <x v="0"/>
    <n v="1083"/>
    <n v="71627.63"/>
    <s v="Refinery A"/>
    <s v="Washington"/>
    <n v="24"/>
    <n v="106"/>
    <m/>
  </r>
  <r>
    <d v="2025-04-09T06:51:00"/>
    <d v="2025-04-10T15:46:00"/>
    <x v="3"/>
    <x v="0"/>
    <n v="1084"/>
    <n v="70224.88"/>
    <s v="Refinery A"/>
    <s v="Washington"/>
    <n v="33"/>
    <n v="104"/>
    <m/>
  </r>
  <r>
    <d v="2025-04-10T22:33:00"/>
    <d v="2025-04-12T00:00:00"/>
    <x v="3"/>
    <x v="0"/>
    <n v="1085"/>
    <n v="71324.45"/>
    <s v="Refinery A"/>
    <s v="Washington"/>
    <n v="25"/>
    <n v="106"/>
    <m/>
  </r>
  <r>
    <d v="2025-04-15T17:54:00"/>
    <d v="2025-04-16T17:25:00"/>
    <x v="3"/>
    <x v="0"/>
    <n v="1086"/>
    <n v="71428.92"/>
    <s v="Refinery A"/>
    <s v="Washington"/>
    <n v="24"/>
    <n v="106"/>
    <m/>
  </r>
  <r>
    <d v="2025-04-24T17:47:00"/>
    <d v="2025-04-25T17:43:00"/>
    <x v="3"/>
    <x v="0"/>
    <n v="1087"/>
    <n v="71275.17"/>
    <s v="Refinery A"/>
    <s v="Washington"/>
    <n v="24"/>
    <n v="106"/>
    <m/>
  </r>
  <r>
    <d v="2025-04-29T10:50:00"/>
    <d v="2025-04-30T07:29:00"/>
    <x v="3"/>
    <x v="0"/>
    <n v="1088"/>
    <n v="71239.56"/>
    <s v="Refinery A"/>
    <s v="Washington"/>
    <n v="21"/>
    <n v="106"/>
    <m/>
  </r>
  <r>
    <d v="2025-05-01T08:17:00"/>
    <d v="2025-05-02T05:34:00"/>
    <x v="4"/>
    <x v="0"/>
    <n v="1089"/>
    <n v="71389.649999999994"/>
    <s v="Refinery A"/>
    <s v="Washington"/>
    <n v="21"/>
    <n v="106"/>
    <m/>
  </r>
  <r>
    <d v="2025-05-03T07:09:00"/>
    <d v="2025-05-04T03:43:00"/>
    <x v="4"/>
    <x v="0"/>
    <n v="1090"/>
    <n v="67164.2"/>
    <s v="Refinery A"/>
    <s v="Washington"/>
    <n v="21"/>
    <n v="100"/>
    <m/>
  </r>
  <r>
    <d v="2025-05-06T13:31:00"/>
    <d v="2025-05-08T06:08:00"/>
    <x v="4"/>
    <x v="0"/>
    <n v="1091"/>
    <n v="71140.800000000003"/>
    <s v="Refinery A"/>
    <s v="Washington"/>
    <n v="41"/>
    <n v="106"/>
    <m/>
  </r>
  <r>
    <d v="2025-05-13T13:58:00"/>
    <d v="2025-05-14T13:17:00"/>
    <x v="4"/>
    <x v="0"/>
    <n v="1092"/>
    <n v="71005.84"/>
    <s v="Refinery A"/>
    <s v="Washington"/>
    <n v="23"/>
    <n v="106"/>
    <m/>
  </r>
  <r>
    <d v="2025-05-17T01:14:00"/>
    <d v="2025-05-17T20:11:00"/>
    <x v="4"/>
    <x v="0"/>
    <n v="1093"/>
    <n v="71096.740000000005"/>
    <s v="Refinery A"/>
    <s v="Washington"/>
    <n v="19"/>
    <n v="106"/>
    <m/>
  </r>
  <r>
    <d v="2025-05-17T22:31:00"/>
    <d v="2025-05-18T20:13:00"/>
    <x v="4"/>
    <x v="0"/>
    <n v="1094"/>
    <n v="71327.100000000006"/>
    <s v="Refinery A"/>
    <s v="Washington"/>
    <n v="22"/>
    <n v="106"/>
    <m/>
  </r>
  <r>
    <d v="2025-05-19T09:57:00"/>
    <d v="2025-05-26T20:46:00"/>
    <x v="4"/>
    <x v="0"/>
    <n v="1095"/>
    <n v="71276.710000000006"/>
    <s v="Refinery A"/>
    <s v="Washington"/>
    <n v="23"/>
    <n v="106"/>
    <s v="5 cars loaded 5/19 1hr; 4 cars loaded 5/21 1 hr; 97 cars loaded 5/25 21 hrs"/>
  </r>
  <r>
    <d v="2025-05-27T07:03:00"/>
    <d v="2025-05-28T06:11:00"/>
    <x v="4"/>
    <x v="0"/>
    <n v="1096"/>
    <n v="71282.16"/>
    <s v="Refinery A"/>
    <s v="Washington"/>
    <n v="23"/>
    <n v="106"/>
    <m/>
  </r>
  <r>
    <d v="2025-05-29T21:40:00"/>
    <d v="2025-05-30T18:56:00"/>
    <x v="4"/>
    <x v="0"/>
    <n v="1097"/>
    <n v="71154.73"/>
    <s v="Refinery A"/>
    <s v="Washington"/>
    <n v="21"/>
    <n v="106"/>
    <m/>
  </r>
  <r>
    <d v="2025-06-03T06:44:00"/>
    <d v="2025-06-04T05:57:00"/>
    <x v="5"/>
    <x v="1"/>
    <n v="1098"/>
    <n v="67966.63"/>
    <s v="Refinery B"/>
    <s v="Washington"/>
    <n v="23"/>
    <n v="102"/>
    <m/>
  </r>
  <r>
    <d v="2025-06-09T17:01:00"/>
    <d v="2025-06-10T16:55:00"/>
    <x v="5"/>
    <x v="0"/>
    <n v="1099"/>
    <n v="71016.78"/>
    <s v="Ferndale"/>
    <s v="Washington"/>
    <n v="24"/>
    <n v="106"/>
    <m/>
  </r>
  <r>
    <d v="2025-06-10T23:07:00"/>
    <d v="2025-06-12T05:32:00"/>
    <x v="5"/>
    <x v="2"/>
    <n v="1100"/>
    <n v="58584.6"/>
    <s v="Refinery C Storage"/>
    <s v="Oregon"/>
    <n v="30"/>
    <n v="91"/>
    <m/>
  </r>
  <r>
    <d v="2025-06-13T21:32:00"/>
    <d v="2025-06-14T22:32:00"/>
    <x v="5"/>
    <x v="3"/>
    <n v="1101"/>
    <n v="63689.35"/>
    <s v="Refinery D"/>
    <s v="Washington"/>
    <n v="25"/>
    <n v="98"/>
    <m/>
  </r>
  <r>
    <d v="2025-06-15T17:42:00"/>
    <d v="2025-06-16T14:31:00"/>
    <x v="5"/>
    <x v="0"/>
    <n v="1102"/>
    <n v="71113.63"/>
    <s v="Refinery A"/>
    <s v="Washington"/>
    <n v="21"/>
    <n v="106"/>
    <m/>
  </r>
  <r>
    <d v="2025-06-16T21:52:00"/>
    <d v="2025-06-17T19:44:00"/>
    <x v="5"/>
    <x v="0"/>
    <n v="1103"/>
    <n v="70873.66"/>
    <s v="Refinery A"/>
    <s v="Washington"/>
    <n v="22"/>
    <n v="106"/>
    <m/>
  </r>
  <r>
    <d v="2025-06-21T16:00:00"/>
    <d v="2025-06-22T21:05:00"/>
    <x v="5"/>
    <x v="2"/>
    <n v="1104"/>
    <n v="58180.34"/>
    <s v="Refinery C Storage"/>
    <s v="Oregon"/>
    <n v="29"/>
    <n v="91"/>
    <m/>
  </r>
  <r>
    <d v="2025-06-25T04:50:00"/>
    <d v="2025-06-26T04:55:00"/>
    <x v="5"/>
    <x v="0"/>
    <n v="1105"/>
    <n v="70918.19"/>
    <s v="Refinery A"/>
    <s v="Washington"/>
    <n v="24"/>
    <n v="106"/>
    <m/>
  </r>
  <r>
    <d v="2025-06-26T18:26:00"/>
    <d v="2025-06-27T18:08:00"/>
    <x v="5"/>
    <x v="1"/>
    <n v="1106"/>
    <n v="71106.61"/>
    <s v="Refinery B"/>
    <s v="Washington"/>
    <n v="24"/>
    <n v="107"/>
    <m/>
  </r>
  <r>
    <d v="2025-06-28T09:41:00"/>
    <d v="2025-06-29T11:30:00"/>
    <x v="5"/>
    <x v="3"/>
    <n v="1107"/>
    <n v="64712.4"/>
    <s v="Refinery D"/>
    <s v="Washington"/>
    <n v="26"/>
    <n v="100"/>
    <m/>
  </r>
  <r>
    <d v="2025-06-29T22:38:00"/>
    <d v="2025-06-30T23:12:00"/>
    <x v="5"/>
    <x v="0"/>
    <n v="1108"/>
    <n v="70844.02"/>
    <s v="Refinery A"/>
    <s v="Washington"/>
    <n v="25"/>
    <n v="106"/>
    <m/>
  </r>
  <r>
    <d v="2025-07-02T12:12:00"/>
    <d v="2025-07-03T10:14:00"/>
    <x v="6"/>
    <x v="0"/>
    <n v="1109"/>
    <n v="70778.2"/>
    <s v="Refinery A"/>
    <s v="Washington"/>
    <n v="22"/>
    <n v="106"/>
    <m/>
  </r>
  <r>
    <d v="2025-07-07T22:40:00"/>
    <d v="2025-07-08T23:43:00"/>
    <x v="6"/>
    <x v="2"/>
    <n v="1110"/>
    <n v="63389"/>
    <s v="Refinery C Storage"/>
    <s v="Oregon"/>
    <n v="25"/>
    <n v="99"/>
    <m/>
  </r>
  <r>
    <d v="2025-07-10T09:26:00"/>
    <d v="2025-07-11T11:38:00"/>
    <x v="6"/>
    <x v="0"/>
    <n v="1111"/>
    <n v="70712.75"/>
    <s v="Refinery A"/>
    <s v="Washington"/>
    <n v="26"/>
    <n v="106"/>
    <m/>
  </r>
  <r>
    <d v="2025-07-13T07:05:00"/>
    <d v="2025-07-14T04:51:00"/>
    <x v="6"/>
    <x v="0"/>
    <n v="1112"/>
    <n v="70730.98"/>
    <s v="Refinery A"/>
    <s v="Washington"/>
    <n v="22"/>
    <n v="106"/>
    <m/>
  </r>
  <r>
    <d v="2025-07-22T00:36:00"/>
    <d v="2025-07-22T22:08:00"/>
    <x v="6"/>
    <x v="0"/>
    <n v="1113"/>
    <n v="71428.679999999993"/>
    <s v="Refinery A"/>
    <s v="Washington"/>
    <n v="22"/>
    <n v="107"/>
    <m/>
  </r>
  <r>
    <d v="2025-07-23T03:01:00"/>
    <d v="2025-07-23T23:38:00"/>
    <x v="6"/>
    <x v="2"/>
    <n v="1114"/>
    <n v="63600.28"/>
    <s v="Refinery C Storage"/>
    <s v="Oregon"/>
    <n v="21"/>
    <n v="99"/>
    <m/>
  </r>
  <r>
    <d v="2025-07-25T16:29:00"/>
    <d v="2025-07-26T16:33:00"/>
    <x v="6"/>
    <x v="2"/>
    <n v="1115"/>
    <n v="69322.52"/>
    <s v="Refinery C Storage"/>
    <s v="Oregon"/>
    <n v="24"/>
    <n v="107"/>
    <m/>
  </r>
  <r>
    <d v="2025-07-28T01:27:00"/>
    <d v="2025-07-29T06:23:00"/>
    <x v="6"/>
    <x v="3"/>
    <n v="1116"/>
    <n v="61389.59"/>
    <s v="Refinery D"/>
    <s v="Washington"/>
    <n v="29"/>
    <n v="105"/>
    <m/>
  </r>
  <r>
    <d v="2025-07-31T19:44:00"/>
    <d v="2025-08-01T19:24:00"/>
    <x v="7"/>
    <x v="0"/>
    <n v="1117"/>
    <n v="71403.31"/>
    <s v="Refinery A"/>
    <s v="Washington"/>
    <n v="24"/>
    <n v="107"/>
    <m/>
  </r>
  <r>
    <d v="2025-08-02T01:26:00"/>
    <d v="2025-08-02T21:15:00"/>
    <x v="7"/>
    <x v="0"/>
    <n v="1118"/>
    <n v="71420.17"/>
    <s v="Refinery A"/>
    <s v="Washington"/>
    <n v="20"/>
    <n v="107"/>
    <m/>
  </r>
  <r>
    <d v="2025-08-03T03:47:00"/>
    <d v="2025-08-04T03:49:00"/>
    <x v="7"/>
    <x v="2"/>
    <n v="1119"/>
    <n v="63057.74"/>
    <s v="Refinery C Storage"/>
    <s v="Oregon"/>
    <n v="24"/>
    <n v="98"/>
    <m/>
  </r>
  <r>
    <d v="2025-08-08T09:44:00"/>
    <d v="2025-08-09T08:27:00"/>
    <x v="7"/>
    <x v="0"/>
    <n v="1120"/>
    <n v="71510.490000000005"/>
    <s v="Refinery A"/>
    <s v="Washington"/>
    <n v="23"/>
    <n v="107"/>
    <m/>
  </r>
  <r>
    <d v="2025-08-11T20:25:00"/>
    <d v="2025-08-12T19:21:00"/>
    <x v="7"/>
    <x v="2"/>
    <n v="1121"/>
    <n v="69307.42"/>
    <s v="Refinery C Storage"/>
    <s v="Oregon"/>
    <n v="23"/>
    <n v="107"/>
    <m/>
  </r>
  <r>
    <d v="2025-08-12T22:55:00"/>
    <d v="2025-08-13T21:01:00"/>
    <x v="7"/>
    <x v="0"/>
    <n v="1122"/>
    <n v="71526.05"/>
    <s v="Refinery A"/>
    <s v="Washington"/>
    <n v="22"/>
    <n v="107"/>
    <m/>
  </r>
  <r>
    <d v="2025-08-17T04:36:00"/>
    <d v="2025-08-18T05:28:00"/>
    <x v="7"/>
    <x v="0"/>
    <n v="1123"/>
    <n v="71382.53"/>
    <s v="Refinery A"/>
    <s v="Washington"/>
    <n v="25"/>
    <n v="107"/>
    <m/>
  </r>
  <r>
    <d v="2025-08-18T08:57:00"/>
    <d v="2025-08-19T04:58:00"/>
    <x v="7"/>
    <x v="2"/>
    <n v="1124"/>
    <n v="64769.51"/>
    <s v="Refinery C Storage"/>
    <s v="Oregon"/>
    <n v="20"/>
    <n v="101"/>
    <m/>
  </r>
  <r>
    <d v="2025-08-23T12:33:00"/>
    <d v="2025-08-24T14:17:00"/>
    <x v="7"/>
    <x v="0"/>
    <n v="1125"/>
    <n v="71421.22"/>
    <s v="Refinery A"/>
    <s v="Washington"/>
    <n v="26"/>
    <n v="107"/>
    <m/>
  </r>
  <r>
    <d v="2025-08-24T20:09:00"/>
    <d v="2025-08-25T15:25:00"/>
    <x v="7"/>
    <x v="2"/>
    <n v="1126"/>
    <n v="69520.649999999994"/>
    <s v="Refinery C Storage"/>
    <s v="Oregon"/>
    <n v="19"/>
    <n v="107"/>
    <m/>
  </r>
  <r>
    <d v="2025-08-29T09:21:00"/>
    <d v="2025-08-30T06:43:00"/>
    <x v="7"/>
    <x v="2"/>
    <n v="1127"/>
    <n v="66175.59"/>
    <s v="Refinery C Storage"/>
    <s v="Oregon"/>
    <n v="21"/>
    <n v="103"/>
    <m/>
  </r>
  <r>
    <d v="2025-08-30T21:43:00"/>
    <d v="2025-08-31T18:31:00"/>
    <x v="7"/>
    <x v="0"/>
    <n v="1128"/>
    <n v="71219.789999999994"/>
    <s v="Refinery A"/>
    <s v="Washington"/>
    <n v="21"/>
    <n v="107"/>
    <m/>
  </r>
  <r>
    <d v="2025-09-01T07:29:00"/>
    <d v="2025-09-02T04:40:00"/>
    <x v="8"/>
    <x v="0"/>
    <n v="1129"/>
    <n v="71323.149999999994"/>
    <s v="Refinery A"/>
    <s v="Washington"/>
    <n v="21"/>
    <n v="107"/>
    <m/>
  </r>
  <r>
    <d v="2025-09-03T00:44:00"/>
    <d v="2025-09-03T22:13:00"/>
    <x v="8"/>
    <x v="0"/>
    <n v="1130"/>
    <n v="71441.100000000006"/>
    <s v="Refinery A"/>
    <s v="Washington"/>
    <n v="21"/>
    <n v="107"/>
    <m/>
  </r>
  <r>
    <d v="2025-09-06T09:48:00"/>
    <d v="2025-09-07T09:59:00"/>
    <x v="8"/>
    <x v="1"/>
    <n v="1131"/>
    <n v="68998.55"/>
    <s v="Refinery B"/>
    <s v="Washington"/>
    <n v="24"/>
    <n v="110"/>
    <m/>
  </r>
  <r>
    <d v="2025-09-09T09:21:00"/>
    <d v="2025-09-10T05:59:00"/>
    <x v="8"/>
    <x v="2"/>
    <n v="1132"/>
    <n v="66187.83"/>
    <s v="Refinery C Storage"/>
    <s v="Oregon"/>
    <n v="21"/>
    <n v="103"/>
    <m/>
  </r>
  <r>
    <d v="2025-09-11T16:25:00"/>
    <d v="2025-09-12T17:43:00"/>
    <x v="8"/>
    <x v="0"/>
    <n v="1133"/>
    <n v="71374.61"/>
    <s v="Refinery A"/>
    <s v="Washington"/>
    <n v="25"/>
    <n v="107"/>
    <m/>
  </r>
  <r>
    <d v="2025-09-12T22:12:00"/>
    <d v="2025-09-13T20:38:00"/>
    <x v="8"/>
    <x v="0"/>
    <n v="1134"/>
    <n v="71470.02"/>
    <s v="Refinery A"/>
    <s v="Washington"/>
    <n v="22"/>
    <n v="107"/>
    <m/>
  </r>
  <r>
    <d v="2025-09-16T20:35:00"/>
    <d v="2025-09-17T19:44:00"/>
    <x v="8"/>
    <x v="0"/>
    <n v="1135"/>
    <n v="70733.740000000005"/>
    <s v="Refinery A"/>
    <s v="Washington"/>
    <n v="23"/>
    <n v="106"/>
    <m/>
  </r>
  <r>
    <d v="2025-09-18T21:27:00"/>
    <d v="2025-09-19T17:42:00"/>
    <x v="8"/>
    <x v="0"/>
    <n v="1136"/>
    <n v="71454.02"/>
    <s v="Refinery A"/>
    <s v="Washington"/>
    <n v="20"/>
    <n v="107"/>
    <m/>
  </r>
  <r>
    <d v="2025-09-19T21:35:00"/>
    <d v="2025-09-20T15:22:00"/>
    <x v="8"/>
    <x v="2"/>
    <n v="1137"/>
    <n v="66343.63"/>
    <s v="Refinery C Storage"/>
    <s v="Oregon"/>
    <n v="18"/>
    <n v="103"/>
    <m/>
  </r>
  <r>
    <d v="2025-09-23T07:01:00"/>
    <d v="2025-09-24T02:24:00"/>
    <x v="8"/>
    <x v="2"/>
    <n v="1138"/>
    <n v="61475"/>
    <s v="Refinery C Storage"/>
    <s v="Oregon"/>
    <n v="19"/>
    <n v="96"/>
    <m/>
  </r>
  <r>
    <d v="2025-09-25T00:18:00"/>
    <d v="2025-09-25T20:53:00"/>
    <x v="8"/>
    <x v="0"/>
    <n v="1139"/>
    <n v="71388.63"/>
    <s v="Refinery A"/>
    <s v="Washington"/>
    <n v="21"/>
    <n v="107"/>
    <m/>
  </r>
  <r>
    <d v="2025-09-26T07:05:00"/>
    <d v="2025-09-27T00:36:00"/>
    <x v="8"/>
    <x v="0"/>
    <n v="1140"/>
    <n v="71335.899999999994"/>
    <s v="Refinery A"/>
    <s v="Washington"/>
    <n v="18"/>
    <n v="107"/>
    <m/>
  </r>
  <r>
    <d v="2025-09-28T07:55:00"/>
    <d v="2025-09-29T01:49:00"/>
    <x v="8"/>
    <x v="0"/>
    <n v="1141"/>
    <n v="71350.8"/>
    <s v="Refinery A"/>
    <s v="Washington"/>
    <n v="18"/>
    <n v="107"/>
    <m/>
  </r>
  <r>
    <d v="2025-09-29T23:03:00"/>
    <d v="2025-09-30T18:33:00"/>
    <x v="8"/>
    <x v="0"/>
    <n v="1142"/>
    <n v="69348.2"/>
    <s v="Refinery A"/>
    <s v="Washington"/>
    <n v="20"/>
    <n v="104"/>
    <m/>
  </r>
  <r>
    <d v="2025-10-04T04:18:00"/>
    <d v="2025-10-05T02:27:00"/>
    <x v="9"/>
    <x v="0"/>
    <n v="1143"/>
    <n v="71459.960000000006"/>
    <s v="Refinery A"/>
    <s v="Washington"/>
    <n v="22"/>
    <n v="107"/>
    <m/>
  </r>
  <r>
    <d v="2025-10-06T11:42:00"/>
    <d v="2025-10-07T07:39:00"/>
    <x v="9"/>
    <x v="2"/>
    <n v="1144"/>
    <n v="64557.24"/>
    <s v="Refinery C Storage"/>
    <s v="Oregon"/>
    <n v="20"/>
    <n v="100"/>
    <m/>
  </r>
  <r>
    <d v="2025-10-07T10:05:00"/>
    <d v="2025-10-08T03:36:00"/>
    <x v="9"/>
    <x v="0"/>
    <n v="1145"/>
    <n v="71586.259999999995"/>
    <s v="Refinery A"/>
    <s v="Washington"/>
    <n v="18"/>
    <n v="107"/>
    <m/>
  </r>
  <r>
    <d v="2025-10-13T19:25:00"/>
    <d v="2025-10-14T16:00:00"/>
    <x v="9"/>
    <x v="0"/>
    <n v="1146"/>
    <n v="71774.559999999998"/>
    <s v="Refinery A"/>
    <s v="Washington"/>
    <n v="21"/>
    <n v="107"/>
    <m/>
  </r>
  <r>
    <d v="2025-10-14T21:10:00"/>
    <d v="2025-10-15T21:25:00"/>
    <x v="9"/>
    <x v="0"/>
    <n v="1147"/>
    <n v="71806.59"/>
    <s v="Refinery A"/>
    <s v="Washington"/>
    <n v="24"/>
    <n v="107"/>
    <m/>
  </r>
  <r>
    <d v="2025-10-16T02:14:00"/>
    <d v="2025-10-16T23:15:00"/>
    <x v="9"/>
    <x v="2"/>
    <n v="1148"/>
    <n v="69643.77"/>
    <s v="Refinery C Storage"/>
    <s v="Oregon"/>
    <n v="21"/>
    <n v="108"/>
    <m/>
  </r>
  <r>
    <d v="2025-10-20T07:43:00"/>
    <d v="2025-10-21T08:49:00"/>
    <x v="9"/>
    <x v="0"/>
    <n v="1149"/>
    <n v="71996.36"/>
    <s v="Refinery A"/>
    <s v="Washington"/>
    <n v="25"/>
    <n v="107"/>
    <m/>
  </r>
  <r>
    <d v="2025-10-21T21:49:00"/>
    <d v="2025-10-23T02:55:00"/>
    <x v="9"/>
    <x v="0"/>
    <n v="1150"/>
    <n v="71962.89"/>
    <s v="Refinery A"/>
    <s v="Washington"/>
    <n v="29"/>
    <n v="107"/>
    <m/>
  </r>
  <r>
    <d v="2025-10-23T13:28:00"/>
    <d v="2025-10-24T15:44:00"/>
    <x v="9"/>
    <x v="0"/>
    <n v="1151"/>
    <n v="71976.86"/>
    <s v="Refinery A"/>
    <s v="Washington"/>
    <n v="26"/>
    <n v="107"/>
    <m/>
  </r>
  <r>
    <d v="2025-10-25T08:41:00"/>
    <d v="2025-10-26T09:27:00"/>
    <x v="9"/>
    <x v="0"/>
    <n v="1152"/>
    <n v="71825.539999999994"/>
    <s v="Refinery A"/>
    <s v="Washington"/>
    <n v="25"/>
    <n v="107"/>
    <m/>
  </r>
  <r>
    <d v="2025-10-26T15:55:00"/>
    <d v="2025-10-27T20:28:00"/>
    <x v="9"/>
    <x v="2"/>
    <n v="1153"/>
    <n v="68556.039999999994"/>
    <s v="Refinery C Storage"/>
    <s v="Oregon"/>
    <n v="29"/>
    <n v="106"/>
    <m/>
  </r>
  <r>
    <d v="2025-10-28T06:11:00"/>
    <d v="2025-10-29T10:38:00"/>
    <x v="9"/>
    <x v="0"/>
    <n v="1154"/>
    <n v="71782.94"/>
    <s v="Refinery A"/>
    <s v="Washington"/>
    <n v="28"/>
    <n v="107"/>
    <m/>
  </r>
  <r>
    <d v="2025-10-29T18:04:00"/>
    <d v="2025-10-30T20:50:00"/>
    <x v="9"/>
    <x v="0"/>
    <n v="1155"/>
    <n v="65326.82"/>
    <s v="Refinery C Storage"/>
    <s v="Oregon"/>
    <n v="27"/>
    <n v="101"/>
    <m/>
  </r>
  <r>
    <d v="2025-10-31T01:15:00"/>
    <d v="2025-11-01T00:11:00"/>
    <x v="9"/>
    <x v="0"/>
    <n v="1156"/>
    <n v="72100.22"/>
    <s v="Refinery A"/>
    <s v="Washington"/>
    <n v="23"/>
    <n v="107"/>
    <m/>
  </r>
  <r>
    <d v="2025-11-01T14:19:00"/>
    <d v="2025-11-02T16:06:00"/>
    <x v="10"/>
    <x v="0"/>
    <n v="1157"/>
    <n v="71908.240000000005"/>
    <s v="Refinery A"/>
    <s v="Washington"/>
    <n v="26"/>
    <n v="107"/>
    <m/>
  </r>
  <r>
    <d v="2025-11-03T03:24:00"/>
    <d v="2025-11-04T07:53:00"/>
    <x v="10"/>
    <x v="0"/>
    <n v="1158"/>
    <n v="71868.490000000005"/>
    <s v="Refinery A"/>
    <s v="Washington"/>
    <n v="28"/>
    <n v="107"/>
    <m/>
  </r>
  <r>
    <d v="2025-11-05T13:48:00"/>
    <d v="2025-11-06T16:20:00"/>
    <x v="10"/>
    <x v="0"/>
    <n v="1159"/>
    <n v="72576.259999999995"/>
    <s v="Refinery A"/>
    <s v="Washington"/>
    <n v="27"/>
    <n v="108"/>
    <m/>
  </r>
  <r>
    <d v="2025-11-09T02:31:00"/>
    <d v="2025-11-10T09:33:00"/>
    <x v="10"/>
    <x v="2"/>
    <n v="1160"/>
    <n v="71415.53"/>
    <s v="Refinery C Storage"/>
    <s v="Oregon"/>
    <n v="31"/>
    <n v="108"/>
    <m/>
  </r>
  <r>
    <d v="2025-11-11T02:12:00"/>
    <d v="2025-11-12T10:19:00"/>
    <x v="10"/>
    <x v="0"/>
    <n v="1161"/>
    <n v="72610.84"/>
    <s v="Refinery A"/>
    <s v="Washington"/>
    <n v="32"/>
    <n v="108"/>
    <m/>
  </r>
  <r>
    <d v="2025-11-12T15:34:00"/>
    <d v="2025-11-13T22:43:00"/>
    <x v="10"/>
    <x v="2"/>
    <n v="1162"/>
    <n v="69937.350000000006"/>
    <s v="Refinery C Storage"/>
    <s v="Oregon"/>
    <n v="31"/>
    <n v="108"/>
    <m/>
  </r>
  <r>
    <d v="2025-11-14T19:43:00"/>
    <d v="2025-11-15T23:41:00"/>
    <x v="10"/>
    <x v="0"/>
    <n v="1163"/>
    <n v="72705.100000000006"/>
    <s v="Refinery A"/>
    <s v="Washington"/>
    <n v="28"/>
    <n v="108"/>
    <m/>
  </r>
  <r>
    <d v="2025-11-16T04:59:00"/>
    <d v="2025-11-17T04:17:00"/>
    <x v="10"/>
    <x v="0"/>
    <n v="1164"/>
    <n v="72616.91"/>
    <s v="Refinery A"/>
    <s v="Washington"/>
    <n v="23"/>
    <n v="108"/>
    <m/>
  </r>
  <r>
    <d v="2025-11-23T23:55:00"/>
    <d v="2025-11-24T22:40:00"/>
    <x v="10"/>
    <x v="0"/>
    <n v="1165"/>
    <n v="72802"/>
    <s v="Refinery A"/>
    <s v="Washington"/>
    <n v="23"/>
    <n v="108"/>
    <m/>
  </r>
  <r>
    <d v="2025-11-25T04:53:00"/>
    <d v="2025-11-26T03:11:00"/>
    <x v="10"/>
    <x v="0"/>
    <n v="1166"/>
    <n v="72770.960000000006"/>
    <s v="Refinery A"/>
    <s v="Washington"/>
    <n v="22"/>
    <n v="108"/>
    <m/>
  </r>
  <r>
    <d v="2025-11-26T07:30:00"/>
    <d v="2025-11-27T10:16:00"/>
    <x v="10"/>
    <x v="0"/>
    <n v="1167"/>
    <n v="72840.03"/>
    <s v="Refinery A"/>
    <s v="Washington"/>
    <n v="27"/>
    <n v="108"/>
    <m/>
  </r>
  <r>
    <d v="2025-11-27T19:14:00"/>
    <d v="2025-11-28T23:11:00"/>
    <x v="10"/>
    <x v="2"/>
    <n v="1168"/>
    <n v="67812.320000000007"/>
    <s v="Refinery C Storage"/>
    <s v="Oregon"/>
    <n v="28"/>
    <n v="104"/>
    <m/>
  </r>
  <r>
    <d v="2025-11-29T05:39:00"/>
    <d v="2025-11-30T06:04:00"/>
    <x v="10"/>
    <x v="0"/>
    <n v="1169"/>
    <n v="72697.75"/>
    <s v="Refinery A"/>
    <s v="Washington"/>
    <n v="24"/>
    <n v="108"/>
    <m/>
  </r>
  <r>
    <d v="2025-11-30T10:21:00"/>
    <d v="2025-12-01T06:08:00"/>
    <x v="10"/>
    <x v="0"/>
    <n v="1170"/>
    <n v="43320.94"/>
    <s v="Refinery A"/>
    <s v="Washington"/>
    <n v="20"/>
    <n v="64"/>
    <s v="Loaded across months."/>
  </r>
  <r>
    <d v="2025-12-01T08:02:00"/>
    <d v="2025-12-01T16:52:00"/>
    <x v="11"/>
    <x v="0"/>
    <n v="1170"/>
    <n v="29638.01"/>
    <s v="Refinery A"/>
    <s v="Washington"/>
    <n v="9"/>
    <n v="44"/>
    <s v="Loaded across months."/>
  </r>
  <r>
    <d v="2025-12-02T21:42:00"/>
    <d v="2025-12-04T05:33:00"/>
    <x v="11"/>
    <x v="0"/>
    <n v="1171"/>
    <n v="72487.87"/>
    <s v="Refinery A"/>
    <s v="Washington"/>
    <n v="32"/>
    <n v="107"/>
    <m/>
  </r>
  <r>
    <d v="2025-12-06T02:31:00"/>
    <d v="2025-12-07T06:40:00"/>
    <x v="11"/>
    <x v="0"/>
    <n v="1172"/>
    <n v="72337.070000000007"/>
    <s v="Refinery A"/>
    <s v="Washington"/>
    <n v="28"/>
    <n v="107"/>
    <m/>
  </r>
  <r>
    <d v="2025-12-07T17:23:00"/>
    <d v="2025-12-08T16:15:00"/>
    <x v="11"/>
    <x v="2"/>
    <n v="1173"/>
    <n v="64178.52"/>
    <s v="Refinery C"/>
    <s v="Washington"/>
    <n v="23"/>
    <n v="98"/>
    <m/>
  </r>
  <r>
    <d v="2025-12-10T20:51:00"/>
    <d v="2025-12-11T23:09:00"/>
    <x v="11"/>
    <x v="1"/>
    <n v="1174"/>
    <n v="60979.49"/>
    <s v="Refinery B"/>
    <s v="Washington"/>
    <n v="26"/>
    <n v="96"/>
    <m/>
  </r>
  <r>
    <d v="2025-12-12T04:55:00"/>
    <d v="2025-12-13T03:19:00"/>
    <x v="11"/>
    <x v="0"/>
    <n v="1175"/>
    <n v="73344.37"/>
    <s v="Refinery A"/>
    <s v="Washington"/>
    <n v="22"/>
    <n v="108"/>
    <m/>
  </r>
  <r>
    <d v="2025-12-15T15:12:00"/>
    <d v="2025-12-16T14:20:00"/>
    <x v="11"/>
    <x v="0"/>
    <n v="1176"/>
    <n v="73125.52"/>
    <s v="Refinery A"/>
    <s v="Washington"/>
    <n v="23"/>
    <n v="108"/>
    <m/>
  </r>
  <r>
    <d v="2025-12-17T05:19:00"/>
    <d v="2025-12-18T13:23:00"/>
    <x v="11"/>
    <x v="0"/>
    <n v="1177"/>
    <n v="72806.59"/>
    <s v="Refinery A"/>
    <s v="Washington"/>
    <n v="32"/>
    <n v="108"/>
    <m/>
  </r>
  <r>
    <d v="2025-12-19T17:24:00"/>
    <d v="2025-12-20T23:57:00"/>
    <x v="11"/>
    <x v="2"/>
    <n v="1178"/>
    <n v="64188.08"/>
    <s v="Refinery C"/>
    <s v="Washington"/>
    <n v="31"/>
    <n v="97"/>
    <m/>
  </r>
  <r>
    <d v="2025-12-21T18:01:00"/>
    <d v="2025-12-22T18:17:00"/>
    <x v="11"/>
    <x v="0"/>
    <n v="1179"/>
    <n v="72761.070000000007"/>
    <s v="Refinery A"/>
    <s v="Washington"/>
    <n v="24"/>
    <n v="108"/>
    <m/>
  </r>
  <r>
    <d v="2025-12-23T01:20:00"/>
    <d v="2025-12-23T20:25:00"/>
    <x v="11"/>
    <x v="2"/>
    <n v="1180"/>
    <n v="61714.13"/>
    <s v="Refinery C"/>
    <s v="Washington"/>
    <n v="19"/>
    <n v="94"/>
    <m/>
  </r>
  <r>
    <d v="2025-12-24T03:48:00"/>
    <d v="2025-12-25T08:38:00"/>
    <x v="11"/>
    <x v="0"/>
    <n v="1181"/>
    <n v="72759.75"/>
    <s v="Refinery A"/>
    <s v="Washington"/>
    <n v="29"/>
    <n v="108"/>
    <m/>
  </r>
  <r>
    <d v="2025-12-26T15:51:00"/>
    <d v="2025-12-27T17:28:00"/>
    <x v="11"/>
    <x v="0"/>
    <n v="1182"/>
    <n v="72837.279999999999"/>
    <s v="Refinery A"/>
    <s v="Washington"/>
    <n v="26"/>
    <n v="108"/>
    <m/>
  </r>
  <r>
    <d v="2025-12-28T08:52:00"/>
    <d v="2025-12-29T14:50:00"/>
    <x v="11"/>
    <x v="0"/>
    <n v="1183"/>
    <n v="72975.009999999995"/>
    <s v="Refinery A"/>
    <s v="Washington"/>
    <n v="30"/>
    <n v="10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8F7FF-8C52-4D2E-BB54-790FEBC51BE9}" name="Count_Pivot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6:F40" firstHeaderRow="1" firstDataRow="2" firstDataCol="1"/>
  <pivotFields count="14">
    <pivotField showAll="0"/>
    <pivotField showAll="0"/>
    <pivotField axis="axisRow"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axis="axisCol" showAll="0">
      <items count="10">
        <item m="1" x="5"/>
        <item m="1" x="6"/>
        <item m="1" x="4"/>
        <item m="1" x="7"/>
        <item m="1" x="8"/>
        <item x="0"/>
        <item x="1"/>
        <item x="2"/>
        <item x="3"/>
        <item t="default"/>
      </items>
    </pivotField>
    <pivotField showAll="0"/>
    <pivotField dataField="1" numFmtId="43" showAll="0"/>
    <pivotField showAll="0"/>
    <pivotField showAll="0"/>
    <pivotField numFmtId="2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4">
        <item sd="0" x="0"/>
        <item sd="0" x="1"/>
        <item x="2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 v="5"/>
    </i>
    <i>
      <x v="6"/>
    </i>
    <i>
      <x v="7"/>
    </i>
    <i>
      <x v="8"/>
    </i>
    <i t="grand">
      <x/>
    </i>
  </colItems>
  <dataFields count="1">
    <dataField name="Count of Volume (BBLS)" fld="5" subtotal="count" baseField="2" baseItem="8"/>
  </dataFields>
  <chartFormats count="8">
    <chartFormat chart="0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A3553-A1B6-4539-A983-42E99809B8F1}" name="Volume_Pivot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F15" firstHeaderRow="1" firstDataRow="2" firstDataCol="1"/>
  <pivotFields count="14">
    <pivotField showAll="0"/>
    <pivotField showAll="0"/>
    <pivotField axis="axisRow"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axis="axisCol" showAll="0">
      <items count="10">
        <item m="1" x="5"/>
        <item m="1" x="6"/>
        <item m="1" x="4"/>
        <item m="1" x="7"/>
        <item m="1" x="8"/>
        <item x="0"/>
        <item x="1"/>
        <item x="2"/>
        <item x="3"/>
        <item t="default"/>
      </items>
    </pivotField>
    <pivotField showAll="0"/>
    <pivotField dataField="1" numFmtId="43" showAll="0"/>
    <pivotField showAll="0"/>
    <pivotField showAll="0"/>
    <pivotField numFmtId="2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4">
        <item sd="0" x="0"/>
        <item sd="0" x="1"/>
        <item x="2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 v="5"/>
    </i>
    <i>
      <x v="6"/>
    </i>
    <i>
      <x v="7"/>
    </i>
    <i>
      <x v="8"/>
    </i>
    <i t="grand">
      <x/>
    </i>
  </colItems>
  <dataFields count="1">
    <dataField name="Sum of Volume (BBLS)" fld="5" baseField="0" baseItem="0" numFmtId="43"/>
  </dataFields>
  <chartFormats count="8">
    <chartFormat chart="0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6DB4B-A07B-43D4-894F-91845460D952}" name="TrainData" displayName="TrainData" ref="A1:K129" totalsRowShown="0">
  <autoFilter ref="A1:K129" xr:uid="{CE76DB4B-A07B-43D4-894F-91845460D952}"/>
  <tableColumns count="11">
    <tableColumn id="7" xr3:uid="{7ECADE34-05AC-4391-81FD-254F31E992F6}" name="Start Time" dataDxfId="3"/>
    <tableColumn id="1" xr3:uid="{760C294F-A14A-4FC6-9192-1B0B4A4F95BD}" name="End Time" dataDxfId="2"/>
    <tableColumn id="11" xr3:uid="{223AB758-37ED-4D3D-8F1B-B0458F4C499C}" name="Load Month" dataDxfId="1">
      <calculatedColumnFormula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calculatedColumnFormula>
    </tableColumn>
    <tableColumn id="2" xr3:uid="{F14C7CC3-8848-4835-ACF5-1D95C0C62992}" name="Shipper"/>
    <tableColumn id="4" xr3:uid="{399F9B15-7C23-45CA-90EC-7451BD3530C9}" name="Train"/>
    <tableColumn id="3" xr3:uid="{00957F32-F86B-4650-9605-F5DE5DFAA602}" name="Volume (BBLS)" dataCellStyle="Comma"/>
    <tableColumn id="5" xr3:uid="{67B64F6A-8311-4CF2-BAB5-9F774FB69EA2}" name="Destination"/>
    <tableColumn id="6" xr3:uid="{02E7933D-1929-491D-BF1D-8B5332C7DA65}" name="State"/>
    <tableColumn id="8" xr3:uid="{84E5F365-D3B2-431A-A036-5DC3A37E5478}" name="Hours" dataDxfId="0">
      <calculatedColumnFormula>ROUND((TrainData[[#This Row],[End Time]]-TrainData[[#This Row],[Start Time]])*24,0)</calculatedColumnFormula>
    </tableColumn>
    <tableColumn id="9" xr3:uid="{7106E912-6AF3-442E-A80E-410079BF0E52}" name="Cars"/>
    <tableColumn id="10" xr3:uid="{C6F5AF43-0BFB-4B25-AEC6-A654E71B22CC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D94A-3975-43F8-95E5-652B8CFF0C2B}">
  <dimension ref="A1:N294"/>
  <sheetViews>
    <sheetView tabSelected="1" zoomScale="70" zoomScaleNormal="70" workbookViewId="0">
      <pane ySplit="1" topLeftCell="A79" activePane="bottomLeft" state="frozen"/>
      <selection pane="bottomLeft" activeCell="I2" activeCellId="1" sqref="E2:E129 I2:I129"/>
    </sheetView>
  </sheetViews>
  <sheetFormatPr defaultRowHeight="15" x14ac:dyDescent="0.25"/>
  <cols>
    <col min="1" max="1" width="16.42578125" bestFit="1" customWidth="1"/>
    <col min="2" max="2" width="15.42578125" bestFit="1" customWidth="1"/>
    <col min="3" max="3" width="18.28515625" bestFit="1" customWidth="1"/>
    <col min="4" max="4" width="13.85546875" bestFit="1" customWidth="1"/>
    <col min="5" max="5" width="10.7109375" bestFit="1" customWidth="1"/>
    <col min="6" max="6" width="13.42578125" bestFit="1" customWidth="1"/>
    <col min="7" max="7" width="23" bestFit="1" customWidth="1"/>
    <col min="8" max="8" width="12.5703125" bestFit="1" customWidth="1"/>
    <col min="9" max="9" width="11.5703125" bestFit="1" customWidth="1"/>
    <col min="10" max="10" width="10.140625" bestFit="1" customWidth="1"/>
    <col min="11" max="11" width="70.28515625" bestFit="1" customWidth="1"/>
    <col min="14" max="17" width="11.85546875" bestFit="1" customWidth="1"/>
  </cols>
  <sheetData>
    <row r="1" spans="1:14" x14ac:dyDescent="0.25">
      <c r="A1" t="s">
        <v>11</v>
      </c>
      <c r="B1" t="s">
        <v>10</v>
      </c>
      <c r="C1" t="s">
        <v>19</v>
      </c>
      <c r="D1" t="s">
        <v>3</v>
      </c>
      <c r="E1" t="s">
        <v>4</v>
      </c>
      <c r="F1" t="s">
        <v>27</v>
      </c>
      <c r="G1" t="s">
        <v>5</v>
      </c>
      <c r="H1" t="s">
        <v>6</v>
      </c>
      <c r="I1" t="s">
        <v>12</v>
      </c>
      <c r="J1" t="s">
        <v>13</v>
      </c>
      <c r="K1" t="s">
        <v>14</v>
      </c>
    </row>
    <row r="2" spans="1:14" x14ac:dyDescent="0.25">
      <c r="A2" s="3">
        <v>45658.895138888889</v>
      </c>
      <c r="B2" s="3">
        <v>45659.777777777781</v>
      </c>
      <c r="C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45658</v>
      </c>
      <c r="D2" t="s">
        <v>30</v>
      </c>
      <c r="E2">
        <v>1057</v>
      </c>
      <c r="F2" s="1">
        <v>71654.710000000006</v>
      </c>
      <c r="G2" t="s">
        <v>34</v>
      </c>
      <c r="H2" t="s">
        <v>7</v>
      </c>
      <c r="I2" s="4">
        <f>ROUND((TrainData[[#This Row],[End Time]]-TrainData[[#This Row],[Start Time]])*24,0)</f>
        <v>21</v>
      </c>
      <c r="J2">
        <v>106</v>
      </c>
    </row>
    <row r="3" spans="1:14" x14ac:dyDescent="0.25">
      <c r="A3" s="3">
        <v>45662.70208333333</v>
      </c>
      <c r="B3" s="3">
        <v>45663.777777777781</v>
      </c>
      <c r="C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45658</v>
      </c>
      <c r="D3" t="s">
        <v>30</v>
      </c>
      <c r="E3">
        <f t="shared" ref="E3:E13" si="0">E2+1</f>
        <v>1058</v>
      </c>
      <c r="F3" s="1">
        <v>65796.850000000006</v>
      </c>
      <c r="G3" t="s">
        <v>34</v>
      </c>
      <c r="H3" t="s">
        <v>7</v>
      </c>
      <c r="I3" s="4">
        <f>ROUND((TrainData[[#This Row],[End Time]]-TrainData[[#This Row],[Start Time]])*24,0)</f>
        <v>26</v>
      </c>
      <c r="J3">
        <v>97</v>
      </c>
    </row>
    <row r="4" spans="1:14" x14ac:dyDescent="0.25">
      <c r="A4" s="3">
        <v>45665.395138888889</v>
      </c>
      <c r="B4" s="3">
        <v>45666.411805555559</v>
      </c>
      <c r="C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45658</v>
      </c>
      <c r="D4" t="s">
        <v>30</v>
      </c>
      <c r="E4">
        <f t="shared" si="0"/>
        <v>1059</v>
      </c>
      <c r="F4" s="1">
        <v>71823.12</v>
      </c>
      <c r="G4" t="s">
        <v>34</v>
      </c>
      <c r="H4" t="s">
        <v>7</v>
      </c>
      <c r="I4" s="4">
        <f>ROUND((TrainData[[#This Row],[End Time]]-TrainData[[#This Row],[Start Time]])*24,0)</f>
        <v>24</v>
      </c>
      <c r="J4">
        <v>106</v>
      </c>
    </row>
    <row r="5" spans="1:14" x14ac:dyDescent="0.25">
      <c r="A5" s="3">
        <v>45670.777083333334</v>
      </c>
      <c r="B5" s="3">
        <v>45672.024305555555</v>
      </c>
      <c r="C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45658</v>
      </c>
      <c r="D5" t="s">
        <v>30</v>
      </c>
      <c r="E5">
        <f t="shared" si="0"/>
        <v>1060</v>
      </c>
      <c r="F5" s="1">
        <v>71964.5</v>
      </c>
      <c r="G5" t="s">
        <v>34</v>
      </c>
      <c r="H5" t="s">
        <v>7</v>
      </c>
      <c r="I5" s="4">
        <f>ROUND((TrainData[[#This Row],[End Time]]-TrainData[[#This Row],[Start Time]])*24,0)</f>
        <v>30</v>
      </c>
      <c r="J5">
        <v>106</v>
      </c>
    </row>
    <row r="6" spans="1:14" x14ac:dyDescent="0.25">
      <c r="A6" s="3">
        <v>45672.897222222222</v>
      </c>
      <c r="B6" s="3">
        <v>45673.781944444447</v>
      </c>
      <c r="C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45658</v>
      </c>
      <c r="D6" t="s">
        <v>30</v>
      </c>
      <c r="E6">
        <f t="shared" si="0"/>
        <v>1061</v>
      </c>
      <c r="F6" s="1">
        <v>67051.05</v>
      </c>
      <c r="G6" t="s">
        <v>34</v>
      </c>
      <c r="H6" t="s">
        <v>7</v>
      </c>
      <c r="I6" s="4">
        <f>ROUND((TrainData[[#This Row],[End Time]]-TrainData[[#This Row],[Start Time]])*24,0)</f>
        <v>21</v>
      </c>
      <c r="J6">
        <v>99</v>
      </c>
    </row>
    <row r="7" spans="1:14" x14ac:dyDescent="0.25">
      <c r="A7" s="3">
        <v>45677.580555555556</v>
      </c>
      <c r="B7" s="3">
        <v>45679.010416666664</v>
      </c>
      <c r="C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45658</v>
      </c>
      <c r="D7" t="s">
        <v>30</v>
      </c>
      <c r="E7">
        <f t="shared" si="0"/>
        <v>1062</v>
      </c>
      <c r="F7" s="1">
        <v>62938.32</v>
      </c>
      <c r="G7" t="s">
        <v>34</v>
      </c>
      <c r="H7" t="s">
        <v>7</v>
      </c>
      <c r="I7" s="4">
        <f>ROUND((TrainData[[#This Row],[End Time]]-TrainData[[#This Row],[Start Time]])*24,0)</f>
        <v>34</v>
      </c>
      <c r="J7">
        <v>97</v>
      </c>
    </row>
    <row r="8" spans="1:14" ht="14.25" customHeight="1" x14ac:dyDescent="0.25">
      <c r="A8" s="3">
        <v>45679.209027777775</v>
      </c>
      <c r="B8" s="3">
        <v>45680.259027777778</v>
      </c>
      <c r="C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45658</v>
      </c>
      <c r="D8" t="s">
        <v>30</v>
      </c>
      <c r="E8">
        <f t="shared" si="0"/>
        <v>1063</v>
      </c>
      <c r="F8" s="1">
        <v>71846.399999999994</v>
      </c>
      <c r="G8" t="s">
        <v>34</v>
      </c>
      <c r="H8" t="s">
        <v>7</v>
      </c>
      <c r="I8" s="4">
        <f>ROUND((TrainData[[#This Row],[End Time]]-TrainData[[#This Row],[Start Time]])*24,0)</f>
        <v>25</v>
      </c>
      <c r="J8">
        <v>106</v>
      </c>
    </row>
    <row r="9" spans="1:14" ht="14.25" customHeight="1" x14ac:dyDescent="0.25">
      <c r="A9" s="3">
        <v>45683.844444444447</v>
      </c>
      <c r="B9" s="3">
        <v>45684.677083333336</v>
      </c>
      <c r="C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45658</v>
      </c>
      <c r="D9" t="s">
        <v>30</v>
      </c>
      <c r="E9">
        <f t="shared" si="0"/>
        <v>1064</v>
      </c>
      <c r="F9" s="1">
        <v>71697.850000000006</v>
      </c>
      <c r="G9" t="s">
        <v>34</v>
      </c>
      <c r="H9" t="s">
        <v>7</v>
      </c>
      <c r="I9" s="4">
        <f>ROUND((TrainData[[#This Row],[End Time]]-TrainData[[#This Row],[Start Time]])*24,0)</f>
        <v>20</v>
      </c>
      <c r="J9">
        <v>106</v>
      </c>
      <c r="N9" s="1"/>
    </row>
    <row r="10" spans="1:14" x14ac:dyDescent="0.25">
      <c r="A10" s="3">
        <v>45686.162499999999</v>
      </c>
      <c r="B10" s="3">
        <v>45686.978472222225</v>
      </c>
      <c r="C1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45658</v>
      </c>
      <c r="D10" t="s">
        <v>30</v>
      </c>
      <c r="E10">
        <f t="shared" si="0"/>
        <v>1065</v>
      </c>
      <c r="F10" s="1">
        <v>71620.45</v>
      </c>
      <c r="G10" t="s">
        <v>34</v>
      </c>
      <c r="H10" t="s">
        <v>7</v>
      </c>
      <c r="I10" s="4">
        <f>ROUND((TrainData[[#This Row],[End Time]]-TrainData[[#This Row],[Start Time]])*24,0)</f>
        <v>20</v>
      </c>
      <c r="J10">
        <v>106</v>
      </c>
    </row>
    <row r="11" spans="1:14" x14ac:dyDescent="0.25">
      <c r="A11" s="3">
        <v>45688.382638888892</v>
      </c>
      <c r="B11" s="3">
        <v>45689.347222222219</v>
      </c>
      <c r="C1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45689</v>
      </c>
      <c r="D11" t="s">
        <v>30</v>
      </c>
      <c r="E11">
        <f t="shared" si="0"/>
        <v>1066</v>
      </c>
      <c r="F11" s="1">
        <v>64246.17</v>
      </c>
      <c r="G11" t="s">
        <v>34</v>
      </c>
      <c r="H11" t="s">
        <v>7</v>
      </c>
      <c r="I11" s="4">
        <f>ROUND((TrainData[[#This Row],[End Time]]-TrainData[[#This Row],[Start Time]])*24,0)</f>
        <v>23</v>
      </c>
      <c r="J11">
        <v>99</v>
      </c>
    </row>
    <row r="12" spans="1:14" x14ac:dyDescent="0.25">
      <c r="A12" s="3">
        <v>45689.56527777778</v>
      </c>
      <c r="B12" s="3">
        <v>45690.411805555559</v>
      </c>
      <c r="C1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45689</v>
      </c>
      <c r="D12" t="s">
        <v>30</v>
      </c>
      <c r="E12">
        <f t="shared" si="0"/>
        <v>1067</v>
      </c>
      <c r="F12" s="1">
        <v>71476.3</v>
      </c>
      <c r="G12" t="s">
        <v>34</v>
      </c>
      <c r="H12" t="s">
        <v>7</v>
      </c>
      <c r="I12" s="4">
        <f>ROUND((TrainData[[#This Row],[End Time]]-TrainData[[#This Row],[Start Time]])*24,0)</f>
        <v>20</v>
      </c>
      <c r="J12">
        <v>106</v>
      </c>
    </row>
    <row r="13" spans="1:14" x14ac:dyDescent="0.25">
      <c r="A13" s="3">
        <v>45691.525694444441</v>
      </c>
      <c r="B13" s="3">
        <v>45692.656944444447</v>
      </c>
      <c r="C1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45689</v>
      </c>
      <c r="D13" t="s">
        <v>30</v>
      </c>
      <c r="E13">
        <f t="shared" si="0"/>
        <v>1068</v>
      </c>
      <c r="F13" s="1">
        <v>71618.990000000005</v>
      </c>
      <c r="G13" t="s">
        <v>34</v>
      </c>
      <c r="H13" t="s">
        <v>7</v>
      </c>
      <c r="I13" s="4">
        <f>ROUND((TrainData[[#This Row],[End Time]]-TrainData[[#This Row],[Start Time]])*24,0)</f>
        <v>27</v>
      </c>
      <c r="J13">
        <v>106</v>
      </c>
    </row>
    <row r="14" spans="1:14" x14ac:dyDescent="0.25">
      <c r="A14" s="3">
        <v>45702.32916666667</v>
      </c>
      <c r="B14" s="3">
        <v>45703.238194444442</v>
      </c>
      <c r="C1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45689</v>
      </c>
      <c r="D14" t="s">
        <v>30</v>
      </c>
      <c r="E14">
        <v>1069</v>
      </c>
      <c r="F14" s="1">
        <v>72143.72</v>
      </c>
      <c r="G14" t="s">
        <v>34</v>
      </c>
      <c r="H14" t="s">
        <v>7</v>
      </c>
      <c r="I14" s="4">
        <f>ROUND((TrainData[[#This Row],[End Time]]-TrainData[[#This Row],[Start Time]])*24,0)</f>
        <v>22</v>
      </c>
      <c r="J14">
        <v>106</v>
      </c>
    </row>
    <row r="15" spans="1:14" x14ac:dyDescent="0.25">
      <c r="A15" s="3">
        <v>45706.036111111112</v>
      </c>
      <c r="B15" s="3">
        <v>45707.527777777781</v>
      </c>
      <c r="C1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45689</v>
      </c>
      <c r="D15" t="s">
        <v>30</v>
      </c>
      <c r="E15">
        <v>1070</v>
      </c>
      <c r="F15" s="1">
        <v>71537.66</v>
      </c>
      <c r="G15" t="s">
        <v>34</v>
      </c>
      <c r="H15" t="s">
        <v>7</v>
      </c>
      <c r="I15" s="4">
        <v>84</v>
      </c>
      <c r="J15">
        <v>106</v>
      </c>
      <c r="K15" t="s">
        <v>15</v>
      </c>
    </row>
    <row r="16" spans="1:14" x14ac:dyDescent="0.25">
      <c r="A16" s="3">
        <v>45715.43472222222</v>
      </c>
      <c r="B16" s="3">
        <v>45716.456250000003</v>
      </c>
      <c r="C1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45689</v>
      </c>
      <c r="D16" t="s">
        <v>30</v>
      </c>
      <c r="E16">
        <v>1071</v>
      </c>
      <c r="F16" s="1">
        <v>70753.179999999993</v>
      </c>
      <c r="G16" t="s">
        <v>34</v>
      </c>
      <c r="H16" t="s">
        <v>7</v>
      </c>
      <c r="I16" s="4">
        <f>ROUND((TrainData[[#This Row],[End Time]]-TrainData[[#This Row],[Start Time]])*24,0)</f>
        <v>25</v>
      </c>
      <c r="J16">
        <v>105</v>
      </c>
    </row>
    <row r="17" spans="1:11" x14ac:dyDescent="0.25">
      <c r="A17" s="3">
        <v>45717.540972222225</v>
      </c>
      <c r="B17" s="3">
        <v>45718.404861111114</v>
      </c>
      <c r="C1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45717</v>
      </c>
      <c r="D17" t="s">
        <v>30</v>
      </c>
      <c r="E17">
        <v>1072</v>
      </c>
      <c r="F17" s="1">
        <v>69440.81</v>
      </c>
      <c r="G17" t="s">
        <v>34</v>
      </c>
      <c r="H17" t="s">
        <v>7</v>
      </c>
      <c r="I17" s="4">
        <f>ROUND((TrainData[[#This Row],[End Time]]-TrainData[[#This Row],[Start Time]])*24,0)</f>
        <v>21</v>
      </c>
      <c r="J17">
        <v>103</v>
      </c>
    </row>
    <row r="18" spans="1:11" x14ac:dyDescent="0.25">
      <c r="A18" s="3">
        <v>45721.868055555555</v>
      </c>
      <c r="B18" s="3">
        <v>45728.392361111109</v>
      </c>
      <c r="C1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45717</v>
      </c>
      <c r="D18" t="s">
        <v>30</v>
      </c>
      <c r="E18">
        <v>1073</v>
      </c>
      <c r="F18" s="1">
        <v>71408.69</v>
      </c>
      <c r="G18" t="s">
        <v>34</v>
      </c>
      <c r="H18" t="s">
        <v>7</v>
      </c>
      <c r="I18" s="4">
        <v>31</v>
      </c>
      <c r="J18">
        <v>106</v>
      </c>
      <c r="K18" t="s">
        <v>16</v>
      </c>
    </row>
    <row r="19" spans="1:11" x14ac:dyDescent="0.25">
      <c r="A19" s="3">
        <v>45728.762499999997</v>
      </c>
      <c r="B19" s="3">
        <v>45729.835416666669</v>
      </c>
      <c r="C1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45717</v>
      </c>
      <c r="D19" t="s">
        <v>30</v>
      </c>
      <c r="E19">
        <v>1074</v>
      </c>
      <c r="F19" s="1">
        <v>71369.73</v>
      </c>
      <c r="G19" t="s">
        <v>34</v>
      </c>
      <c r="H19" t="s">
        <v>7</v>
      </c>
      <c r="I19" s="4">
        <f>ROUND((TrainData[[#This Row],[End Time]]-TrainData[[#This Row],[Start Time]])*24,0)</f>
        <v>26</v>
      </c>
      <c r="J19">
        <v>106</v>
      </c>
    </row>
    <row r="20" spans="1:11" x14ac:dyDescent="0.25">
      <c r="A20" s="3">
        <v>45730.529861111114</v>
      </c>
      <c r="B20" s="3">
        <v>45731.456250000003</v>
      </c>
      <c r="C2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45717</v>
      </c>
      <c r="D20" t="s">
        <v>30</v>
      </c>
      <c r="E20">
        <v>1075</v>
      </c>
      <c r="F20" s="1">
        <v>71335.23</v>
      </c>
      <c r="G20" t="s">
        <v>34</v>
      </c>
      <c r="H20" t="s">
        <v>7</v>
      </c>
      <c r="I20" s="4">
        <f>ROUND((TrainData[[#This Row],[End Time]]-TrainData[[#This Row],[Start Time]])*24,0)</f>
        <v>22</v>
      </c>
      <c r="J20">
        <v>106</v>
      </c>
    </row>
    <row r="21" spans="1:11" x14ac:dyDescent="0.25">
      <c r="A21" s="3">
        <v>45733.47152777778</v>
      </c>
      <c r="B21" s="3">
        <v>45734.513888888891</v>
      </c>
      <c r="C2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45717</v>
      </c>
      <c r="D21" t="s">
        <v>30</v>
      </c>
      <c r="E21">
        <v>1076</v>
      </c>
      <c r="F21" s="1">
        <v>71470.03</v>
      </c>
      <c r="G21" t="s">
        <v>34</v>
      </c>
      <c r="H21" t="s">
        <v>7</v>
      </c>
      <c r="I21" s="4">
        <f>ROUND((TrainData[[#This Row],[End Time]]-TrainData[[#This Row],[Start Time]])*24,0)</f>
        <v>25</v>
      </c>
      <c r="J21">
        <v>106</v>
      </c>
    </row>
    <row r="22" spans="1:11" x14ac:dyDescent="0.25">
      <c r="A22" s="3">
        <v>45738.138888888891</v>
      </c>
      <c r="B22" s="3">
        <v>45738.97152777778</v>
      </c>
      <c r="C2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45717</v>
      </c>
      <c r="D22" t="s">
        <v>30</v>
      </c>
      <c r="E22">
        <v>1077</v>
      </c>
      <c r="F22" s="1">
        <v>71401.23</v>
      </c>
      <c r="G22" t="s">
        <v>34</v>
      </c>
      <c r="H22" t="s">
        <v>7</v>
      </c>
      <c r="I22" s="4">
        <f>ROUND((TrainData[[#This Row],[End Time]]-TrainData[[#This Row],[Start Time]])*24,0)</f>
        <v>20</v>
      </c>
      <c r="J22">
        <v>106</v>
      </c>
    </row>
    <row r="23" spans="1:11" x14ac:dyDescent="0.25">
      <c r="A23" s="3">
        <v>45743.515277777777</v>
      </c>
      <c r="B23" s="3">
        <v>45744.997916666667</v>
      </c>
      <c r="C2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45717</v>
      </c>
      <c r="D23" t="s">
        <v>30</v>
      </c>
      <c r="E23">
        <v>1078</v>
      </c>
      <c r="F23" s="1">
        <v>72108.179999999993</v>
      </c>
      <c r="G23" t="s">
        <v>34</v>
      </c>
      <c r="H23" t="s">
        <v>7</v>
      </c>
      <c r="I23" s="4">
        <f>ROUND((TrainData[[#This Row],[End Time]]-TrainData[[#This Row],[Start Time]])*24,0)</f>
        <v>36</v>
      </c>
      <c r="J23">
        <v>106</v>
      </c>
    </row>
    <row r="24" spans="1:11" x14ac:dyDescent="0.25">
      <c r="A24" s="3">
        <v>45745.823611111111</v>
      </c>
      <c r="B24" s="3">
        <v>45746.896527777775</v>
      </c>
      <c r="C2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45717</v>
      </c>
      <c r="D24" t="s">
        <v>30</v>
      </c>
      <c r="E24">
        <v>1079</v>
      </c>
      <c r="F24" s="1">
        <v>70737.55</v>
      </c>
      <c r="G24" t="s">
        <v>34</v>
      </c>
      <c r="H24" t="s">
        <v>7</v>
      </c>
      <c r="I24" s="4">
        <f>ROUND((TrainData[[#This Row],[End Time]]-TrainData[[#This Row],[Start Time]])*24,0)</f>
        <v>26</v>
      </c>
      <c r="J24">
        <v>104</v>
      </c>
    </row>
    <row r="25" spans="1:11" x14ac:dyDescent="0.25">
      <c r="A25" s="3">
        <v>45747.081250000003</v>
      </c>
      <c r="B25" s="3">
        <v>45748.047222222223</v>
      </c>
      <c r="C2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45717</v>
      </c>
      <c r="D25" t="s">
        <v>30</v>
      </c>
      <c r="E25">
        <v>1080</v>
      </c>
      <c r="F25" s="1">
        <v>71678.3</v>
      </c>
      <c r="G25" t="s">
        <v>34</v>
      </c>
      <c r="H25" t="s">
        <v>7</v>
      </c>
      <c r="I25" s="4">
        <f>ROUND((TrainData[[#This Row],[End Time]]-TrainData[[#This Row],[Start Time]])*24,0)</f>
        <v>23</v>
      </c>
      <c r="J25">
        <v>106</v>
      </c>
    </row>
    <row r="26" spans="1:11" x14ac:dyDescent="0.25">
      <c r="A26" s="3">
        <v>45749.345138888886</v>
      </c>
      <c r="B26" s="3">
        <v>45750.155555555553</v>
      </c>
      <c r="C2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45748</v>
      </c>
      <c r="D26" t="s">
        <v>30</v>
      </c>
      <c r="E26">
        <v>1081</v>
      </c>
      <c r="F26" s="1">
        <v>71758.58</v>
      </c>
      <c r="G26" t="s">
        <v>34</v>
      </c>
      <c r="H26" t="s">
        <v>7</v>
      </c>
      <c r="I26" s="4">
        <f>ROUND((TrainData[[#This Row],[End Time]]-TrainData[[#This Row],[Start Time]])*24,0)</f>
        <v>19</v>
      </c>
      <c r="J26">
        <v>106</v>
      </c>
    </row>
    <row r="27" spans="1:11" x14ac:dyDescent="0.25">
      <c r="A27" s="3">
        <v>45752.474999999999</v>
      </c>
      <c r="B27" s="3">
        <v>45753.524305555555</v>
      </c>
      <c r="C2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45748</v>
      </c>
      <c r="D27" t="s">
        <v>30</v>
      </c>
      <c r="E27">
        <v>1082</v>
      </c>
      <c r="F27" s="1">
        <v>71490.990000000005</v>
      </c>
      <c r="G27" t="s">
        <v>34</v>
      </c>
      <c r="H27" t="s">
        <v>7</v>
      </c>
      <c r="I27" s="4">
        <f>ROUND((TrainData[[#This Row],[End Time]]-TrainData[[#This Row],[Start Time]])*24,0)</f>
        <v>25</v>
      </c>
      <c r="J27">
        <v>106</v>
      </c>
    </row>
    <row r="28" spans="1:11" x14ac:dyDescent="0.25">
      <c r="A28" s="3">
        <v>45754.975694444445</v>
      </c>
      <c r="B28" s="3">
        <v>45755.988194444442</v>
      </c>
      <c r="C2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45748</v>
      </c>
      <c r="D28" t="s">
        <v>30</v>
      </c>
      <c r="E28">
        <v>1083</v>
      </c>
      <c r="F28" s="1">
        <v>71627.63</v>
      </c>
      <c r="G28" t="s">
        <v>34</v>
      </c>
      <c r="H28" t="s">
        <v>7</v>
      </c>
      <c r="I28" s="4">
        <f>ROUND((TrainData[[#This Row],[End Time]]-TrainData[[#This Row],[Start Time]])*24,0)</f>
        <v>24</v>
      </c>
      <c r="J28">
        <v>106</v>
      </c>
    </row>
    <row r="29" spans="1:11" x14ac:dyDescent="0.25">
      <c r="A29" s="3">
        <v>45756.285416666666</v>
      </c>
      <c r="B29" s="3">
        <v>45757.656944444447</v>
      </c>
      <c r="C2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45748</v>
      </c>
      <c r="D29" t="s">
        <v>30</v>
      </c>
      <c r="E29">
        <v>1084</v>
      </c>
      <c r="F29" s="1">
        <v>70224.88</v>
      </c>
      <c r="G29" t="s">
        <v>34</v>
      </c>
      <c r="H29" t="s">
        <v>7</v>
      </c>
      <c r="I29" s="4">
        <f>ROUND((TrainData[[#This Row],[End Time]]-TrainData[[#This Row],[Start Time]])*24,0)</f>
        <v>33</v>
      </c>
      <c r="J29">
        <v>104</v>
      </c>
    </row>
    <row r="30" spans="1:11" x14ac:dyDescent="0.25">
      <c r="A30" s="3">
        <v>45757.939583333333</v>
      </c>
      <c r="B30" s="3">
        <v>45759</v>
      </c>
      <c r="C3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45748</v>
      </c>
      <c r="D30" t="s">
        <v>30</v>
      </c>
      <c r="E30">
        <v>1085</v>
      </c>
      <c r="F30" s="1">
        <v>71324.45</v>
      </c>
      <c r="G30" t="s">
        <v>34</v>
      </c>
      <c r="H30" t="s">
        <v>7</v>
      </c>
      <c r="I30" s="4">
        <f>ROUND((TrainData[[#This Row],[End Time]]-TrainData[[#This Row],[Start Time]])*24,0)</f>
        <v>25</v>
      </c>
      <c r="J30">
        <v>106</v>
      </c>
    </row>
    <row r="31" spans="1:11" x14ac:dyDescent="0.25">
      <c r="A31" s="3">
        <v>45762.745833333334</v>
      </c>
      <c r="B31" s="3">
        <v>45763.725694444445</v>
      </c>
      <c r="C3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45748</v>
      </c>
      <c r="D31" t="s">
        <v>30</v>
      </c>
      <c r="E31">
        <v>1086</v>
      </c>
      <c r="F31" s="1">
        <v>71428.92</v>
      </c>
      <c r="G31" t="s">
        <v>34</v>
      </c>
      <c r="H31" t="s">
        <v>7</v>
      </c>
      <c r="I31" s="4">
        <f>ROUND((TrainData[[#This Row],[End Time]]-TrainData[[#This Row],[Start Time]])*24,0)</f>
        <v>24</v>
      </c>
      <c r="J31">
        <v>106</v>
      </c>
    </row>
    <row r="32" spans="1:11" x14ac:dyDescent="0.25">
      <c r="A32" s="3">
        <v>45771.740972222222</v>
      </c>
      <c r="B32" s="3">
        <v>45772.738194444442</v>
      </c>
      <c r="C3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45748</v>
      </c>
      <c r="D32" t="s">
        <v>30</v>
      </c>
      <c r="E32">
        <v>1087</v>
      </c>
      <c r="F32" s="1">
        <v>71275.17</v>
      </c>
      <c r="G32" t="s">
        <v>34</v>
      </c>
      <c r="H32" t="s">
        <v>7</v>
      </c>
      <c r="I32" s="4">
        <f>ROUND((TrainData[[#This Row],[End Time]]-TrainData[[#This Row],[Start Time]])*24,0)</f>
        <v>24</v>
      </c>
      <c r="J32">
        <v>106</v>
      </c>
    </row>
    <row r="33" spans="1:11" x14ac:dyDescent="0.25">
      <c r="A33" s="3">
        <v>45776.451388888891</v>
      </c>
      <c r="B33" s="3">
        <v>45777.311805555553</v>
      </c>
      <c r="C3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45748</v>
      </c>
      <c r="D33" t="s">
        <v>30</v>
      </c>
      <c r="E33">
        <v>1088</v>
      </c>
      <c r="F33" s="1">
        <v>71239.56</v>
      </c>
      <c r="G33" t="s">
        <v>34</v>
      </c>
      <c r="H33" t="s">
        <v>7</v>
      </c>
      <c r="I33" s="4">
        <f>ROUND((TrainData[[#This Row],[End Time]]-TrainData[[#This Row],[Start Time]])*24,0)</f>
        <v>21</v>
      </c>
      <c r="J33">
        <v>106</v>
      </c>
    </row>
    <row r="34" spans="1:11" x14ac:dyDescent="0.25">
      <c r="A34" s="3">
        <v>45778.345138888886</v>
      </c>
      <c r="B34" s="3">
        <v>45779.231944444444</v>
      </c>
      <c r="C3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45778</v>
      </c>
      <c r="D34" t="s">
        <v>30</v>
      </c>
      <c r="E34">
        <v>1089</v>
      </c>
      <c r="F34" s="1">
        <v>71389.649999999994</v>
      </c>
      <c r="G34" t="s">
        <v>34</v>
      </c>
      <c r="H34" t="s">
        <v>7</v>
      </c>
      <c r="I34" s="4">
        <f>ROUND((TrainData[[#This Row],[End Time]]-TrainData[[#This Row],[Start Time]])*24,0)</f>
        <v>21</v>
      </c>
      <c r="J34">
        <v>106</v>
      </c>
    </row>
    <row r="35" spans="1:11" x14ac:dyDescent="0.25">
      <c r="A35" s="3">
        <v>45780.29791666667</v>
      </c>
      <c r="B35" s="3">
        <v>45781.154861111114</v>
      </c>
      <c r="C3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45778</v>
      </c>
      <c r="D35" t="s">
        <v>30</v>
      </c>
      <c r="E35">
        <v>1090</v>
      </c>
      <c r="F35" s="1">
        <v>67164.2</v>
      </c>
      <c r="G35" t="s">
        <v>34</v>
      </c>
      <c r="H35" t="s">
        <v>7</v>
      </c>
      <c r="I35" s="4">
        <f>ROUND((TrainData[[#This Row],[End Time]]-TrainData[[#This Row],[Start Time]])*24,0)</f>
        <v>21</v>
      </c>
      <c r="J35">
        <v>100</v>
      </c>
    </row>
    <row r="36" spans="1:11" x14ac:dyDescent="0.25">
      <c r="A36" s="3">
        <v>45783.563194444447</v>
      </c>
      <c r="B36" s="3">
        <v>45785.255555555559</v>
      </c>
      <c r="C3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45778</v>
      </c>
      <c r="D36" t="s">
        <v>30</v>
      </c>
      <c r="E36">
        <v>1091</v>
      </c>
      <c r="F36" s="1">
        <v>71140.800000000003</v>
      </c>
      <c r="G36" t="s">
        <v>34</v>
      </c>
      <c r="H36" t="s">
        <v>7</v>
      </c>
      <c r="I36" s="4">
        <f>ROUND((TrainData[[#This Row],[End Time]]-TrainData[[#This Row],[Start Time]])*24,0)</f>
        <v>41</v>
      </c>
      <c r="J36">
        <v>106</v>
      </c>
    </row>
    <row r="37" spans="1:11" x14ac:dyDescent="0.25">
      <c r="A37" s="3">
        <v>45790.581944444442</v>
      </c>
      <c r="B37" s="3">
        <v>45791.553472222222</v>
      </c>
      <c r="C3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45778</v>
      </c>
      <c r="D37" t="s">
        <v>30</v>
      </c>
      <c r="E37">
        <v>1092</v>
      </c>
      <c r="F37" s="1">
        <v>71005.84</v>
      </c>
      <c r="G37" t="s">
        <v>34</v>
      </c>
      <c r="H37" t="s">
        <v>7</v>
      </c>
      <c r="I37" s="4">
        <f>ROUND((TrainData[[#This Row],[End Time]]-TrainData[[#This Row],[Start Time]])*24,0)</f>
        <v>23</v>
      </c>
      <c r="J37">
        <v>106</v>
      </c>
    </row>
    <row r="38" spans="1:11" x14ac:dyDescent="0.25">
      <c r="A38" s="3">
        <v>45794.051388888889</v>
      </c>
      <c r="B38" s="3">
        <v>45794.84097222222</v>
      </c>
      <c r="C3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45778</v>
      </c>
      <c r="D38" t="s">
        <v>30</v>
      </c>
      <c r="E38">
        <v>1093</v>
      </c>
      <c r="F38" s="1">
        <v>71096.740000000005</v>
      </c>
      <c r="G38" t="s">
        <v>34</v>
      </c>
      <c r="H38" t="s">
        <v>7</v>
      </c>
      <c r="I38" s="4">
        <f>ROUND((TrainData[[#This Row],[End Time]]-TrainData[[#This Row],[Start Time]])*24,0)</f>
        <v>19</v>
      </c>
      <c r="J38">
        <v>106</v>
      </c>
    </row>
    <row r="39" spans="1:11" x14ac:dyDescent="0.25">
      <c r="A39" s="3">
        <v>45794.938194444447</v>
      </c>
      <c r="B39" s="3">
        <v>45795.842361111114</v>
      </c>
      <c r="C3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45778</v>
      </c>
      <c r="D39" t="s">
        <v>30</v>
      </c>
      <c r="E39">
        <v>1094</v>
      </c>
      <c r="F39" s="1">
        <v>71327.100000000006</v>
      </c>
      <c r="G39" t="s">
        <v>34</v>
      </c>
      <c r="H39" t="s">
        <v>7</v>
      </c>
      <c r="I39" s="4">
        <f>ROUND((TrainData[[#This Row],[End Time]]-TrainData[[#This Row],[Start Time]])*24,0)</f>
        <v>22</v>
      </c>
      <c r="J39">
        <v>106</v>
      </c>
    </row>
    <row r="40" spans="1:11" x14ac:dyDescent="0.25">
      <c r="A40" s="3">
        <v>45796.414583333331</v>
      </c>
      <c r="B40" s="3">
        <v>45803.865277777775</v>
      </c>
      <c r="C4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45778</v>
      </c>
      <c r="D40" t="s">
        <v>30</v>
      </c>
      <c r="E40">
        <v>1095</v>
      </c>
      <c r="F40" s="1">
        <v>71276.710000000006</v>
      </c>
      <c r="G40" t="s">
        <v>34</v>
      </c>
      <c r="H40" t="s">
        <v>7</v>
      </c>
      <c r="I40" s="4">
        <v>23</v>
      </c>
      <c r="J40">
        <v>106</v>
      </c>
      <c r="K40" t="s">
        <v>17</v>
      </c>
    </row>
    <row r="41" spans="1:11" x14ac:dyDescent="0.25">
      <c r="A41" s="3">
        <v>45804.293749999997</v>
      </c>
      <c r="B41" s="3">
        <v>45805.257638888892</v>
      </c>
      <c r="C4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45778</v>
      </c>
      <c r="D41" t="s">
        <v>30</v>
      </c>
      <c r="E41">
        <v>1096</v>
      </c>
      <c r="F41" s="1">
        <v>71282.16</v>
      </c>
      <c r="G41" t="s">
        <v>34</v>
      </c>
      <c r="H41" t="s">
        <v>7</v>
      </c>
      <c r="I41" s="4">
        <f>ROUND((TrainData[[#This Row],[End Time]]-TrainData[[#This Row],[Start Time]])*24,0)</f>
        <v>23</v>
      </c>
      <c r="J41">
        <v>106</v>
      </c>
    </row>
    <row r="42" spans="1:11" x14ac:dyDescent="0.25">
      <c r="A42" s="3">
        <v>45806.902777777781</v>
      </c>
      <c r="B42" s="3">
        <v>45807.788888888892</v>
      </c>
      <c r="C4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45778</v>
      </c>
      <c r="D42" t="s">
        <v>30</v>
      </c>
      <c r="E42">
        <v>1097</v>
      </c>
      <c r="F42" s="1">
        <v>71154.73</v>
      </c>
      <c r="G42" t="s">
        <v>34</v>
      </c>
      <c r="H42" t="s">
        <v>7</v>
      </c>
      <c r="I42" s="4">
        <f>ROUND((TrainData[[#This Row],[End Time]]-TrainData[[#This Row],[Start Time]])*24,0)</f>
        <v>21</v>
      </c>
      <c r="J42">
        <v>106</v>
      </c>
    </row>
    <row r="43" spans="1:11" x14ac:dyDescent="0.25">
      <c r="A43" s="3">
        <v>45811.280555555553</v>
      </c>
      <c r="B43" s="3">
        <v>45812.247916666667</v>
      </c>
      <c r="C4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43" t="s">
        <v>31</v>
      </c>
      <c r="E43">
        <v>1098</v>
      </c>
      <c r="F43" s="1">
        <v>67966.63</v>
      </c>
      <c r="G43" t="s">
        <v>35</v>
      </c>
      <c r="H43" t="s">
        <v>7</v>
      </c>
      <c r="I43" s="4">
        <f>ROUND((TrainData[[#This Row],[End Time]]-TrainData[[#This Row],[Start Time]])*24,0)</f>
        <v>23</v>
      </c>
      <c r="J43">
        <v>102</v>
      </c>
    </row>
    <row r="44" spans="1:11" x14ac:dyDescent="0.25">
      <c r="A44" s="3">
        <v>45817.709027777775</v>
      </c>
      <c r="B44" s="3">
        <v>45818.704861111109</v>
      </c>
      <c r="C4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44" t="s">
        <v>30</v>
      </c>
      <c r="E44">
        <v>1099</v>
      </c>
      <c r="F44" s="1">
        <v>71016.78</v>
      </c>
      <c r="G44" t="s">
        <v>8</v>
      </c>
      <c r="H44" t="s">
        <v>7</v>
      </c>
      <c r="I44" s="4">
        <f>ROUND((TrainData[[#This Row],[End Time]]-TrainData[[#This Row],[Start Time]])*24,0)</f>
        <v>24</v>
      </c>
      <c r="J44">
        <v>106</v>
      </c>
    </row>
    <row r="45" spans="1:11" x14ac:dyDescent="0.25">
      <c r="A45" s="3">
        <v>45818.963194444441</v>
      </c>
      <c r="B45" s="3">
        <v>45820.230555555558</v>
      </c>
      <c r="C4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45" t="s">
        <v>32</v>
      </c>
      <c r="E45">
        <v>1100</v>
      </c>
      <c r="F45" s="1">
        <v>58584.6</v>
      </c>
      <c r="G45" t="s">
        <v>38</v>
      </c>
      <c r="H45" t="s">
        <v>9</v>
      </c>
      <c r="I45" s="4">
        <f>ROUND((TrainData[[#This Row],[End Time]]-TrainData[[#This Row],[Start Time]])*24,0)</f>
        <v>30</v>
      </c>
      <c r="J45">
        <v>91</v>
      </c>
    </row>
    <row r="46" spans="1:11" x14ac:dyDescent="0.25">
      <c r="A46" s="3">
        <v>45821.897222222222</v>
      </c>
      <c r="B46" s="3">
        <v>45822.938888888886</v>
      </c>
      <c r="C4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46" t="s">
        <v>33</v>
      </c>
      <c r="E46">
        <v>1101</v>
      </c>
      <c r="F46" s="1">
        <v>63689.35</v>
      </c>
      <c r="G46" t="s">
        <v>37</v>
      </c>
      <c r="H46" t="s">
        <v>7</v>
      </c>
      <c r="I46" s="4">
        <f>ROUND((TrainData[[#This Row],[End Time]]-TrainData[[#This Row],[Start Time]])*24,0)</f>
        <v>25</v>
      </c>
      <c r="J46">
        <v>98</v>
      </c>
    </row>
    <row r="47" spans="1:11" x14ac:dyDescent="0.25">
      <c r="A47" s="3">
        <v>45823.737500000003</v>
      </c>
      <c r="B47" s="3">
        <v>45824.604861111111</v>
      </c>
      <c r="C4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47" t="s">
        <v>30</v>
      </c>
      <c r="E47">
        <v>1102</v>
      </c>
      <c r="F47" s="1">
        <v>71113.63</v>
      </c>
      <c r="G47" t="s">
        <v>34</v>
      </c>
      <c r="H47" t="s">
        <v>7</v>
      </c>
      <c r="I47" s="4">
        <f>ROUND((TrainData[[#This Row],[End Time]]-TrainData[[#This Row],[Start Time]])*24,0)</f>
        <v>21</v>
      </c>
      <c r="J47">
        <v>106</v>
      </c>
    </row>
    <row r="48" spans="1:11" x14ac:dyDescent="0.25">
      <c r="A48" s="3">
        <v>45824.911111111112</v>
      </c>
      <c r="B48" s="3">
        <v>45825.822222222225</v>
      </c>
      <c r="C4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48" t="s">
        <v>30</v>
      </c>
      <c r="E48">
        <v>1103</v>
      </c>
      <c r="F48" s="1">
        <v>70873.66</v>
      </c>
      <c r="G48" t="s">
        <v>34</v>
      </c>
      <c r="H48" t="s">
        <v>7</v>
      </c>
      <c r="I48" s="4">
        <f>ROUND((TrainData[[#This Row],[End Time]]-TrainData[[#This Row],[Start Time]])*24,0)</f>
        <v>22</v>
      </c>
      <c r="J48">
        <v>106</v>
      </c>
    </row>
    <row r="49" spans="1:10" x14ac:dyDescent="0.25">
      <c r="A49" s="3">
        <v>45829.666666666664</v>
      </c>
      <c r="B49" s="3">
        <v>45830.878472222219</v>
      </c>
      <c r="C4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49" t="s">
        <v>32</v>
      </c>
      <c r="E49">
        <v>1104</v>
      </c>
      <c r="F49" s="1">
        <v>58180.34</v>
      </c>
      <c r="G49" t="s">
        <v>38</v>
      </c>
      <c r="H49" t="s">
        <v>9</v>
      </c>
      <c r="I49" s="4">
        <f>ROUND((TrainData[[#This Row],[End Time]]-TrainData[[#This Row],[Start Time]])*24,0)</f>
        <v>29</v>
      </c>
      <c r="J49">
        <v>91</v>
      </c>
    </row>
    <row r="50" spans="1:10" x14ac:dyDescent="0.25">
      <c r="A50" s="3">
        <v>45833.201388888891</v>
      </c>
      <c r="B50" s="3">
        <v>45834.204861111109</v>
      </c>
      <c r="C5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50" t="s">
        <v>30</v>
      </c>
      <c r="E50">
        <v>1105</v>
      </c>
      <c r="F50" s="1">
        <v>70918.19</v>
      </c>
      <c r="G50" t="s">
        <v>34</v>
      </c>
      <c r="H50" t="s">
        <v>7</v>
      </c>
      <c r="I50" s="4">
        <f>ROUND((TrainData[[#This Row],[End Time]]-TrainData[[#This Row],[Start Time]])*24,0)</f>
        <v>24</v>
      </c>
      <c r="J50">
        <v>106</v>
      </c>
    </row>
    <row r="51" spans="1:10" x14ac:dyDescent="0.25">
      <c r="A51" s="3">
        <v>45834.768055555556</v>
      </c>
      <c r="B51" s="3">
        <v>45835.755555555559</v>
      </c>
      <c r="C5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51" t="s">
        <v>31</v>
      </c>
      <c r="E51">
        <v>1106</v>
      </c>
      <c r="F51" s="1">
        <v>71106.61</v>
      </c>
      <c r="G51" t="s">
        <v>35</v>
      </c>
      <c r="H51" t="s">
        <v>7</v>
      </c>
      <c r="I51" s="4">
        <f>ROUND((TrainData[[#This Row],[End Time]]-TrainData[[#This Row],[Start Time]])*24,0)</f>
        <v>24</v>
      </c>
      <c r="J51">
        <v>107</v>
      </c>
    </row>
    <row r="52" spans="1:10" x14ac:dyDescent="0.25">
      <c r="A52" s="3">
        <v>45836.40347222222</v>
      </c>
      <c r="B52" s="3">
        <v>45837.479166666664</v>
      </c>
      <c r="C5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52" t="s">
        <v>33</v>
      </c>
      <c r="E52">
        <v>1107</v>
      </c>
      <c r="F52" s="1">
        <v>64712.4</v>
      </c>
      <c r="G52" t="s">
        <v>37</v>
      </c>
      <c r="H52" t="s">
        <v>7</v>
      </c>
      <c r="I52" s="4">
        <f>ROUND((TrainData[[#This Row],[End Time]]-TrainData[[#This Row],[Start Time]])*24,0)</f>
        <v>26</v>
      </c>
      <c r="J52">
        <v>100</v>
      </c>
    </row>
    <row r="53" spans="1:10" x14ac:dyDescent="0.25">
      <c r="A53" s="3">
        <v>45837.943055555559</v>
      </c>
      <c r="B53" s="3">
        <v>45838.966666666667</v>
      </c>
      <c r="C5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45809</v>
      </c>
      <c r="D53" t="s">
        <v>30</v>
      </c>
      <c r="E53">
        <v>1108</v>
      </c>
      <c r="F53" s="1">
        <v>70844.02</v>
      </c>
      <c r="G53" t="s">
        <v>34</v>
      </c>
      <c r="H53" t="s">
        <v>7</v>
      </c>
      <c r="I53" s="4">
        <f>ROUND((TrainData[[#This Row],[End Time]]-TrainData[[#This Row],[Start Time]])*24,0)</f>
        <v>25</v>
      </c>
      <c r="J53">
        <v>106</v>
      </c>
    </row>
    <row r="54" spans="1:10" x14ac:dyDescent="0.25">
      <c r="A54" s="3">
        <v>45840.508333333331</v>
      </c>
      <c r="B54" s="3">
        <v>45841.426388888889</v>
      </c>
      <c r="C5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45839</v>
      </c>
      <c r="D54" t="s">
        <v>30</v>
      </c>
      <c r="E54">
        <v>1109</v>
      </c>
      <c r="F54" s="1">
        <v>70778.2</v>
      </c>
      <c r="G54" t="s">
        <v>34</v>
      </c>
      <c r="H54" t="s">
        <v>7</v>
      </c>
      <c r="I54" s="4">
        <f>ROUND((TrainData[[#This Row],[End Time]]-TrainData[[#This Row],[Start Time]])*24,0)</f>
        <v>22</v>
      </c>
      <c r="J54">
        <v>106</v>
      </c>
    </row>
    <row r="55" spans="1:10" x14ac:dyDescent="0.25">
      <c r="A55" s="3">
        <v>45845.944444444445</v>
      </c>
      <c r="B55" s="3">
        <v>45846.988194444442</v>
      </c>
      <c r="C5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45839</v>
      </c>
      <c r="D55" t="s">
        <v>32</v>
      </c>
      <c r="E55">
        <v>1110</v>
      </c>
      <c r="F55" s="1">
        <v>63389</v>
      </c>
      <c r="G55" t="s">
        <v>38</v>
      </c>
      <c r="H55" t="s">
        <v>9</v>
      </c>
      <c r="I55" s="4">
        <f>ROUND((TrainData[[#This Row],[End Time]]-TrainData[[#This Row],[Start Time]])*24,0)</f>
        <v>25</v>
      </c>
      <c r="J55">
        <v>99</v>
      </c>
    </row>
    <row r="56" spans="1:10" x14ac:dyDescent="0.25">
      <c r="A56" s="3">
        <v>45848.393055555556</v>
      </c>
      <c r="B56" s="3">
        <v>45849.484722222223</v>
      </c>
      <c r="C5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45839</v>
      </c>
      <c r="D56" t="s">
        <v>30</v>
      </c>
      <c r="E56">
        <v>1111</v>
      </c>
      <c r="F56" s="1">
        <v>70712.75</v>
      </c>
      <c r="G56" t="s">
        <v>34</v>
      </c>
      <c r="H56" t="s">
        <v>7</v>
      </c>
      <c r="I56" s="4">
        <f>ROUND((TrainData[[#This Row],[End Time]]-TrainData[[#This Row],[Start Time]])*24,0)</f>
        <v>26</v>
      </c>
      <c r="J56">
        <v>106</v>
      </c>
    </row>
    <row r="57" spans="1:10" x14ac:dyDescent="0.25">
      <c r="A57" s="3">
        <v>45851.295138888891</v>
      </c>
      <c r="B57" s="3">
        <v>45852.20208333333</v>
      </c>
      <c r="C5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45839</v>
      </c>
      <c r="D57" t="s">
        <v>30</v>
      </c>
      <c r="E57">
        <v>1112</v>
      </c>
      <c r="F57" s="1">
        <v>70730.98</v>
      </c>
      <c r="G57" t="s">
        <v>34</v>
      </c>
      <c r="H57" t="s">
        <v>7</v>
      </c>
      <c r="I57" s="4">
        <f>ROUND((TrainData[[#This Row],[End Time]]-TrainData[[#This Row],[Start Time]])*24,0)</f>
        <v>22</v>
      </c>
      <c r="J57">
        <v>106</v>
      </c>
    </row>
    <row r="58" spans="1:10" x14ac:dyDescent="0.25">
      <c r="A58" s="3">
        <v>45860.025000000001</v>
      </c>
      <c r="B58" s="3">
        <v>45860.922222222223</v>
      </c>
      <c r="C5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45839</v>
      </c>
      <c r="D58" t="s">
        <v>30</v>
      </c>
      <c r="E58">
        <v>1113</v>
      </c>
      <c r="F58" s="1">
        <v>71428.679999999993</v>
      </c>
      <c r="G58" t="s">
        <v>34</v>
      </c>
      <c r="H58" t="s">
        <v>7</v>
      </c>
      <c r="I58" s="4">
        <f>ROUND((TrainData[[#This Row],[End Time]]-TrainData[[#This Row],[Start Time]])*24,0)</f>
        <v>22</v>
      </c>
      <c r="J58">
        <v>107</v>
      </c>
    </row>
    <row r="59" spans="1:10" x14ac:dyDescent="0.25">
      <c r="A59" s="3">
        <v>45861.125694444447</v>
      </c>
      <c r="B59" s="3">
        <v>45861.984722222223</v>
      </c>
      <c r="C5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45839</v>
      </c>
      <c r="D59" t="s">
        <v>32</v>
      </c>
      <c r="E59">
        <v>1114</v>
      </c>
      <c r="F59" s="1">
        <v>63600.28</v>
      </c>
      <c r="G59" t="s">
        <v>38</v>
      </c>
      <c r="H59" t="s">
        <v>9</v>
      </c>
      <c r="I59" s="4">
        <f>ROUND((TrainData[[#This Row],[End Time]]-TrainData[[#This Row],[Start Time]])*24,0)</f>
        <v>21</v>
      </c>
      <c r="J59">
        <v>99</v>
      </c>
    </row>
    <row r="60" spans="1:10" x14ac:dyDescent="0.25">
      <c r="A60" s="3">
        <v>45863.686805555553</v>
      </c>
      <c r="B60" s="3">
        <v>45864.689583333333</v>
      </c>
      <c r="C6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45839</v>
      </c>
      <c r="D60" t="s">
        <v>32</v>
      </c>
      <c r="E60">
        <v>1115</v>
      </c>
      <c r="F60" s="1">
        <v>69322.52</v>
      </c>
      <c r="G60" t="s">
        <v>38</v>
      </c>
      <c r="H60" t="s">
        <v>9</v>
      </c>
      <c r="I60" s="4">
        <f>ROUND((TrainData[[#This Row],[End Time]]-TrainData[[#This Row],[Start Time]])*24,0)</f>
        <v>24</v>
      </c>
      <c r="J60">
        <v>107</v>
      </c>
    </row>
    <row r="61" spans="1:10" x14ac:dyDescent="0.25">
      <c r="A61" s="3">
        <v>45866.060416666667</v>
      </c>
      <c r="B61" s="3">
        <v>45867.265972222223</v>
      </c>
      <c r="C6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45839</v>
      </c>
      <c r="D61" t="s">
        <v>33</v>
      </c>
      <c r="E61">
        <v>1116</v>
      </c>
      <c r="F61" s="1">
        <v>61389.59</v>
      </c>
      <c r="G61" t="s">
        <v>37</v>
      </c>
      <c r="H61" t="s">
        <v>7</v>
      </c>
      <c r="I61" s="4">
        <f>ROUND((TrainData[[#This Row],[End Time]]-TrainData[[#This Row],[Start Time]])*24,0)</f>
        <v>29</v>
      </c>
      <c r="J61">
        <v>105</v>
      </c>
    </row>
    <row r="62" spans="1:10" x14ac:dyDescent="0.25">
      <c r="A62" s="3">
        <v>45869.822222222225</v>
      </c>
      <c r="B62" s="3">
        <v>45870.808333333334</v>
      </c>
      <c r="C6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62" t="s">
        <v>30</v>
      </c>
      <c r="E62">
        <v>1117</v>
      </c>
      <c r="F62" s="1">
        <v>71403.31</v>
      </c>
      <c r="G62" t="s">
        <v>34</v>
      </c>
      <c r="H62" t="s">
        <v>7</v>
      </c>
      <c r="I62" s="4">
        <f>ROUND((TrainData[[#This Row],[End Time]]-TrainData[[#This Row],[Start Time]])*24,0)</f>
        <v>24</v>
      </c>
      <c r="J62">
        <v>107</v>
      </c>
    </row>
    <row r="63" spans="1:10" x14ac:dyDescent="0.25">
      <c r="A63" s="3">
        <v>45871.05972222222</v>
      </c>
      <c r="B63" s="3">
        <v>45871.885416666664</v>
      </c>
      <c r="C6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63" t="s">
        <v>30</v>
      </c>
      <c r="E63">
        <v>1118</v>
      </c>
      <c r="F63" s="1">
        <v>71420.17</v>
      </c>
      <c r="G63" t="s">
        <v>34</v>
      </c>
      <c r="H63" t="s">
        <v>7</v>
      </c>
      <c r="I63" s="4">
        <f>ROUND((TrainData[[#This Row],[End Time]]-TrainData[[#This Row],[Start Time]])*24,0)</f>
        <v>20</v>
      </c>
      <c r="J63">
        <v>107</v>
      </c>
    </row>
    <row r="64" spans="1:10" x14ac:dyDescent="0.25">
      <c r="A64" s="3">
        <v>45872.157638888886</v>
      </c>
      <c r="B64" s="3">
        <v>45873.15902777778</v>
      </c>
      <c r="C6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64" t="s">
        <v>32</v>
      </c>
      <c r="E64">
        <v>1119</v>
      </c>
      <c r="F64" s="1">
        <v>63057.74</v>
      </c>
      <c r="G64" t="s">
        <v>38</v>
      </c>
      <c r="H64" t="s">
        <v>9</v>
      </c>
      <c r="I64" s="4">
        <f>ROUND((TrainData[[#This Row],[End Time]]-TrainData[[#This Row],[Start Time]])*24,0)</f>
        <v>24</v>
      </c>
      <c r="J64">
        <v>98</v>
      </c>
    </row>
    <row r="65" spans="1:10" x14ac:dyDescent="0.25">
      <c r="A65" s="3">
        <v>45877.405555555553</v>
      </c>
      <c r="B65" s="3">
        <v>45878.352083333331</v>
      </c>
      <c r="C6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65" t="s">
        <v>30</v>
      </c>
      <c r="E65">
        <v>1120</v>
      </c>
      <c r="F65" s="1">
        <v>71510.490000000005</v>
      </c>
      <c r="G65" t="s">
        <v>34</v>
      </c>
      <c r="H65" t="s">
        <v>7</v>
      </c>
      <c r="I65" s="4">
        <f>ROUND((TrainData[[#This Row],[End Time]]-TrainData[[#This Row],[Start Time]])*24,0)</f>
        <v>23</v>
      </c>
      <c r="J65">
        <v>107</v>
      </c>
    </row>
    <row r="66" spans="1:10" x14ac:dyDescent="0.25">
      <c r="A66" s="3">
        <v>45880.850694444445</v>
      </c>
      <c r="B66" s="3">
        <v>45881.806250000001</v>
      </c>
      <c r="C6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66" t="s">
        <v>32</v>
      </c>
      <c r="E66">
        <v>1121</v>
      </c>
      <c r="F66" s="1">
        <v>69307.42</v>
      </c>
      <c r="G66" t="s">
        <v>38</v>
      </c>
      <c r="H66" t="s">
        <v>9</v>
      </c>
      <c r="I66" s="4">
        <f>ROUND((TrainData[[#This Row],[End Time]]-TrainData[[#This Row],[Start Time]])*24,0)</f>
        <v>23</v>
      </c>
      <c r="J66">
        <v>107</v>
      </c>
    </row>
    <row r="67" spans="1:10" x14ac:dyDescent="0.25">
      <c r="A67" s="3">
        <v>45881.954861111109</v>
      </c>
      <c r="B67" s="3">
        <v>45882.875694444447</v>
      </c>
      <c r="C6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67" t="s">
        <v>30</v>
      </c>
      <c r="E67">
        <v>1122</v>
      </c>
      <c r="F67" s="1">
        <v>71526.05</v>
      </c>
      <c r="G67" t="s">
        <v>34</v>
      </c>
      <c r="H67" t="s">
        <v>7</v>
      </c>
      <c r="I67" s="4">
        <f>ROUND((TrainData[[#This Row],[End Time]]-TrainData[[#This Row],[Start Time]])*24,0)</f>
        <v>22</v>
      </c>
      <c r="J67">
        <v>107</v>
      </c>
    </row>
    <row r="68" spans="1:10" x14ac:dyDescent="0.25">
      <c r="A68" s="3">
        <v>45886.191666666666</v>
      </c>
      <c r="B68" s="3">
        <v>45887.227777777778</v>
      </c>
      <c r="C6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68" t="s">
        <v>30</v>
      </c>
      <c r="E68">
        <v>1123</v>
      </c>
      <c r="F68" s="1">
        <v>71382.53</v>
      </c>
      <c r="G68" t="s">
        <v>34</v>
      </c>
      <c r="H68" t="s">
        <v>7</v>
      </c>
      <c r="I68" s="4">
        <f>ROUND((TrainData[[#This Row],[End Time]]-TrainData[[#This Row],[Start Time]])*24,0)</f>
        <v>25</v>
      </c>
      <c r="J68">
        <v>107</v>
      </c>
    </row>
    <row r="69" spans="1:10" x14ac:dyDescent="0.25">
      <c r="A69" s="3">
        <v>45887.372916666667</v>
      </c>
      <c r="B69" s="3">
        <v>45888.206944444442</v>
      </c>
      <c r="C6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69" t="s">
        <v>32</v>
      </c>
      <c r="E69">
        <v>1124</v>
      </c>
      <c r="F69" s="1">
        <v>64769.51</v>
      </c>
      <c r="G69" t="s">
        <v>38</v>
      </c>
      <c r="H69" t="s">
        <v>9</v>
      </c>
      <c r="I69" s="4">
        <f>ROUND((TrainData[[#This Row],[End Time]]-TrainData[[#This Row],[Start Time]])*24,0)</f>
        <v>20</v>
      </c>
      <c r="J69">
        <v>101</v>
      </c>
    </row>
    <row r="70" spans="1:10" x14ac:dyDescent="0.25">
      <c r="A70" s="3">
        <v>45892.522916666669</v>
      </c>
      <c r="B70" s="3">
        <v>45893.595138888886</v>
      </c>
      <c r="C7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70" t="s">
        <v>30</v>
      </c>
      <c r="E70">
        <v>1125</v>
      </c>
      <c r="F70" s="1">
        <v>71421.22</v>
      </c>
      <c r="G70" t="s">
        <v>34</v>
      </c>
      <c r="H70" t="s">
        <v>7</v>
      </c>
      <c r="I70" s="4">
        <f>ROUND((TrainData[[#This Row],[End Time]]-TrainData[[#This Row],[Start Time]])*24,0)</f>
        <v>26</v>
      </c>
      <c r="J70">
        <v>107</v>
      </c>
    </row>
    <row r="71" spans="1:10" x14ac:dyDescent="0.25">
      <c r="A71" s="3">
        <v>45893.839583333334</v>
      </c>
      <c r="B71" s="3">
        <v>45894.642361111109</v>
      </c>
      <c r="C7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71" t="s">
        <v>32</v>
      </c>
      <c r="E71">
        <v>1126</v>
      </c>
      <c r="F71" s="1">
        <v>69520.649999999994</v>
      </c>
      <c r="G71" t="s">
        <v>38</v>
      </c>
      <c r="H71" t="s">
        <v>9</v>
      </c>
      <c r="I71" s="4">
        <f>ROUND((TrainData[[#This Row],[End Time]]-TrainData[[#This Row],[Start Time]])*24,0)</f>
        <v>19</v>
      </c>
      <c r="J71">
        <v>107</v>
      </c>
    </row>
    <row r="72" spans="1:10" x14ac:dyDescent="0.25">
      <c r="A72" s="3">
        <v>45898.38958333333</v>
      </c>
      <c r="B72" s="3">
        <v>45899.279861111114</v>
      </c>
      <c r="C7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72" t="s">
        <v>32</v>
      </c>
      <c r="E72">
        <v>1127</v>
      </c>
      <c r="F72" s="1">
        <v>66175.59</v>
      </c>
      <c r="G72" t="s">
        <v>38</v>
      </c>
      <c r="H72" t="s">
        <v>9</v>
      </c>
      <c r="I72" s="4">
        <f>ROUND((TrainData[[#This Row],[End Time]]-TrainData[[#This Row],[Start Time]])*24,0)</f>
        <v>21</v>
      </c>
      <c r="J72">
        <v>103</v>
      </c>
    </row>
    <row r="73" spans="1:10" x14ac:dyDescent="0.25">
      <c r="A73" s="3">
        <v>45899.904861111114</v>
      </c>
      <c r="B73" s="3">
        <v>45900.771527777775</v>
      </c>
      <c r="C7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45870</v>
      </c>
      <c r="D73" t="s">
        <v>30</v>
      </c>
      <c r="E73">
        <v>1128</v>
      </c>
      <c r="F73" s="1">
        <v>71219.789999999994</v>
      </c>
      <c r="G73" t="s">
        <v>34</v>
      </c>
      <c r="H73" t="s">
        <v>7</v>
      </c>
      <c r="I73" s="4">
        <f>ROUND((TrainData[[#This Row],[End Time]]-TrainData[[#This Row],[Start Time]])*24,0)</f>
        <v>21</v>
      </c>
      <c r="J73">
        <v>107</v>
      </c>
    </row>
    <row r="74" spans="1:10" x14ac:dyDescent="0.25">
      <c r="A74" s="3">
        <v>45901.311805555553</v>
      </c>
      <c r="B74" s="3">
        <v>45902.194444444445</v>
      </c>
      <c r="C7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74" t="s">
        <v>30</v>
      </c>
      <c r="E74">
        <v>1129</v>
      </c>
      <c r="F74" s="1">
        <v>71323.149999999994</v>
      </c>
      <c r="G74" t="s">
        <v>34</v>
      </c>
      <c r="H74" t="s">
        <v>7</v>
      </c>
      <c r="I74" s="4">
        <f>ROUND((TrainData[[#This Row],[End Time]]-TrainData[[#This Row],[Start Time]])*24,0)</f>
        <v>21</v>
      </c>
      <c r="J74">
        <v>107</v>
      </c>
    </row>
    <row r="75" spans="1:10" x14ac:dyDescent="0.25">
      <c r="A75" s="3">
        <v>45903.030555555553</v>
      </c>
      <c r="B75" s="3">
        <v>45903.925694444442</v>
      </c>
      <c r="C7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75" t="s">
        <v>30</v>
      </c>
      <c r="E75">
        <v>1130</v>
      </c>
      <c r="F75" s="1">
        <v>71441.100000000006</v>
      </c>
      <c r="G75" t="s">
        <v>34</v>
      </c>
      <c r="H75" t="s">
        <v>7</v>
      </c>
      <c r="I75" s="4">
        <f>ROUND((TrainData[[#This Row],[End Time]]-TrainData[[#This Row],[Start Time]])*24,0)</f>
        <v>21</v>
      </c>
      <c r="J75">
        <v>107</v>
      </c>
    </row>
    <row r="76" spans="1:10" x14ac:dyDescent="0.25">
      <c r="A76" s="3">
        <v>45906.408333333333</v>
      </c>
      <c r="B76" s="3">
        <v>45907.415972222225</v>
      </c>
      <c r="C7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76" t="s">
        <v>31</v>
      </c>
      <c r="E76">
        <v>1131</v>
      </c>
      <c r="F76" s="1">
        <v>68998.55</v>
      </c>
      <c r="G76" t="s">
        <v>35</v>
      </c>
      <c r="H76" t="s">
        <v>7</v>
      </c>
      <c r="I76" s="4">
        <f>ROUND((TrainData[[#This Row],[End Time]]-TrainData[[#This Row],[Start Time]])*24,0)</f>
        <v>24</v>
      </c>
      <c r="J76">
        <v>110</v>
      </c>
    </row>
    <row r="77" spans="1:10" x14ac:dyDescent="0.25">
      <c r="A77" s="3">
        <v>45909.38958333333</v>
      </c>
      <c r="B77" s="3">
        <v>45910.249305555553</v>
      </c>
      <c r="C7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77" t="s">
        <v>32</v>
      </c>
      <c r="E77">
        <v>1132</v>
      </c>
      <c r="F77" s="1">
        <v>66187.83</v>
      </c>
      <c r="G77" t="s">
        <v>38</v>
      </c>
      <c r="H77" t="s">
        <v>9</v>
      </c>
      <c r="I77" s="4">
        <f>ROUND((TrainData[[#This Row],[End Time]]-TrainData[[#This Row],[Start Time]])*24,0)</f>
        <v>21</v>
      </c>
      <c r="J77">
        <v>103</v>
      </c>
    </row>
    <row r="78" spans="1:10" x14ac:dyDescent="0.25">
      <c r="A78" s="3">
        <v>45911.684027777781</v>
      </c>
      <c r="B78" s="3">
        <v>45912.738194444442</v>
      </c>
      <c r="C7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78" t="s">
        <v>30</v>
      </c>
      <c r="E78">
        <v>1133</v>
      </c>
      <c r="F78" s="1">
        <v>71374.61</v>
      </c>
      <c r="G78" t="s">
        <v>34</v>
      </c>
      <c r="H78" t="s">
        <v>7</v>
      </c>
      <c r="I78" s="4">
        <f>ROUND((TrainData[[#This Row],[End Time]]-TrainData[[#This Row],[Start Time]])*24,0)</f>
        <v>25</v>
      </c>
      <c r="J78">
        <v>107</v>
      </c>
    </row>
    <row r="79" spans="1:10" x14ac:dyDescent="0.25">
      <c r="A79" s="3">
        <v>45912.925000000003</v>
      </c>
      <c r="B79" s="3">
        <v>45913.859722222223</v>
      </c>
      <c r="C7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79" t="s">
        <v>30</v>
      </c>
      <c r="E79">
        <v>1134</v>
      </c>
      <c r="F79" s="1">
        <v>71470.02</v>
      </c>
      <c r="G79" t="s">
        <v>34</v>
      </c>
      <c r="H79" t="s">
        <v>7</v>
      </c>
      <c r="I79" s="4">
        <f>ROUND((TrainData[[#This Row],[End Time]]-TrainData[[#This Row],[Start Time]])*24,0)</f>
        <v>22</v>
      </c>
      <c r="J79">
        <v>107</v>
      </c>
    </row>
    <row r="80" spans="1:10" x14ac:dyDescent="0.25">
      <c r="A80" s="3">
        <v>45916.857638888891</v>
      </c>
      <c r="B80" s="3">
        <v>45917.822222222225</v>
      </c>
      <c r="C8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80" t="s">
        <v>30</v>
      </c>
      <c r="E80">
        <v>1135</v>
      </c>
      <c r="F80" s="1">
        <v>70733.740000000005</v>
      </c>
      <c r="G80" t="s">
        <v>34</v>
      </c>
      <c r="H80" t="s">
        <v>7</v>
      </c>
      <c r="I80" s="4">
        <f>ROUND((TrainData[[#This Row],[End Time]]-TrainData[[#This Row],[Start Time]])*24,0)</f>
        <v>23</v>
      </c>
      <c r="J80">
        <v>106</v>
      </c>
    </row>
    <row r="81" spans="1:10" x14ac:dyDescent="0.25">
      <c r="A81" s="3">
        <v>45918.893750000003</v>
      </c>
      <c r="B81" s="3">
        <v>45919.737500000003</v>
      </c>
      <c r="C8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81" t="s">
        <v>30</v>
      </c>
      <c r="E81">
        <v>1136</v>
      </c>
      <c r="F81" s="1">
        <v>71454.02</v>
      </c>
      <c r="G81" t="s">
        <v>34</v>
      </c>
      <c r="H81" t="s">
        <v>7</v>
      </c>
      <c r="I81" s="4">
        <f>ROUND((TrainData[[#This Row],[End Time]]-TrainData[[#This Row],[Start Time]])*24,0)</f>
        <v>20</v>
      </c>
      <c r="J81">
        <v>107</v>
      </c>
    </row>
    <row r="82" spans="1:10" x14ac:dyDescent="0.25">
      <c r="A82" s="3">
        <v>45919.899305555555</v>
      </c>
      <c r="B82" s="3">
        <v>45920.640277777777</v>
      </c>
      <c r="C8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82" t="s">
        <v>32</v>
      </c>
      <c r="E82">
        <v>1137</v>
      </c>
      <c r="F82" s="1">
        <v>66343.63</v>
      </c>
      <c r="G82" t="s">
        <v>38</v>
      </c>
      <c r="H82" t="s">
        <v>9</v>
      </c>
      <c r="I82" s="4">
        <f>ROUND((TrainData[[#This Row],[End Time]]-TrainData[[#This Row],[Start Time]])*24,0)</f>
        <v>18</v>
      </c>
      <c r="J82">
        <v>103</v>
      </c>
    </row>
    <row r="83" spans="1:10" x14ac:dyDescent="0.25">
      <c r="A83" s="3">
        <v>45923.292361111111</v>
      </c>
      <c r="B83" s="3">
        <v>45924.1</v>
      </c>
      <c r="C8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83" t="s">
        <v>32</v>
      </c>
      <c r="E83">
        <v>1138</v>
      </c>
      <c r="F83" s="1">
        <v>61475</v>
      </c>
      <c r="G83" t="s">
        <v>38</v>
      </c>
      <c r="H83" t="s">
        <v>9</v>
      </c>
      <c r="I83" s="4">
        <f>ROUND((TrainData[[#This Row],[End Time]]-TrainData[[#This Row],[Start Time]])*24,0)</f>
        <v>19</v>
      </c>
      <c r="J83">
        <v>96</v>
      </c>
    </row>
    <row r="84" spans="1:10" x14ac:dyDescent="0.25">
      <c r="A84" s="3">
        <v>45925.012499999997</v>
      </c>
      <c r="B84" s="3">
        <v>45925.870138888888</v>
      </c>
      <c r="C8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84" t="s">
        <v>30</v>
      </c>
      <c r="E84">
        <v>1139</v>
      </c>
      <c r="F84" s="1">
        <v>71388.63</v>
      </c>
      <c r="G84" t="s">
        <v>34</v>
      </c>
      <c r="H84" t="s">
        <v>7</v>
      </c>
      <c r="I84" s="4">
        <f>ROUND((TrainData[[#This Row],[End Time]]-TrainData[[#This Row],[Start Time]])*24,0)</f>
        <v>21</v>
      </c>
      <c r="J84">
        <v>107</v>
      </c>
    </row>
    <row r="85" spans="1:10" x14ac:dyDescent="0.25">
      <c r="A85" s="3">
        <v>45926.295138888891</v>
      </c>
      <c r="B85" s="3">
        <v>45927.025000000001</v>
      </c>
      <c r="C8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85" t="s">
        <v>30</v>
      </c>
      <c r="E85">
        <v>1140</v>
      </c>
      <c r="F85" s="1">
        <v>71335.899999999994</v>
      </c>
      <c r="G85" t="s">
        <v>34</v>
      </c>
      <c r="H85" t="s">
        <v>7</v>
      </c>
      <c r="I85" s="4">
        <f>ROUND((TrainData[[#This Row],[End Time]]-TrainData[[#This Row],[Start Time]])*24,0)</f>
        <v>18</v>
      </c>
      <c r="J85">
        <v>107</v>
      </c>
    </row>
    <row r="86" spans="1:10" x14ac:dyDescent="0.25">
      <c r="A86" s="3">
        <v>45928.329861111109</v>
      </c>
      <c r="B86" s="3">
        <v>45929.075694444444</v>
      </c>
      <c r="C8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86" t="s">
        <v>30</v>
      </c>
      <c r="E86">
        <v>1141</v>
      </c>
      <c r="F86" s="1">
        <v>71350.8</v>
      </c>
      <c r="G86" t="s">
        <v>34</v>
      </c>
      <c r="H86" t="s">
        <v>7</v>
      </c>
      <c r="I86" s="4">
        <f>ROUND((TrainData[[#This Row],[End Time]]-TrainData[[#This Row],[Start Time]])*24,0)</f>
        <v>18</v>
      </c>
      <c r="J86">
        <v>107</v>
      </c>
    </row>
    <row r="87" spans="1:10" x14ac:dyDescent="0.25">
      <c r="A87" s="3">
        <v>45929.960416666669</v>
      </c>
      <c r="B87" s="3">
        <v>45930.772916666669</v>
      </c>
      <c r="C8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45901</v>
      </c>
      <c r="D87" t="s">
        <v>30</v>
      </c>
      <c r="E87">
        <v>1142</v>
      </c>
      <c r="F87" s="1">
        <v>69348.2</v>
      </c>
      <c r="G87" t="s">
        <v>34</v>
      </c>
      <c r="H87" t="s">
        <v>7</v>
      </c>
      <c r="I87" s="4">
        <f>ROUND((TrainData[[#This Row],[End Time]]-TrainData[[#This Row],[Start Time]])*24,0)</f>
        <v>20</v>
      </c>
      <c r="J87">
        <v>104</v>
      </c>
    </row>
    <row r="88" spans="1:10" x14ac:dyDescent="0.25">
      <c r="A88" s="3">
        <v>45934.179166666669</v>
      </c>
      <c r="B88" s="3">
        <v>45935.102083333331</v>
      </c>
      <c r="C8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88" t="s">
        <v>30</v>
      </c>
      <c r="E88">
        <v>1143</v>
      </c>
      <c r="F88" s="1">
        <v>71459.960000000006</v>
      </c>
      <c r="G88" t="s">
        <v>34</v>
      </c>
      <c r="H88" t="s">
        <v>7</v>
      </c>
      <c r="I88" s="4">
        <f>ROUND((TrainData[[#This Row],[End Time]]-TrainData[[#This Row],[Start Time]])*24,0)</f>
        <v>22</v>
      </c>
      <c r="J88">
        <v>107</v>
      </c>
    </row>
    <row r="89" spans="1:10" x14ac:dyDescent="0.25">
      <c r="A89" s="3">
        <v>45936.487500000003</v>
      </c>
      <c r="B89" s="3">
        <v>45937.318749999999</v>
      </c>
      <c r="C8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89" t="s">
        <v>32</v>
      </c>
      <c r="E89">
        <v>1144</v>
      </c>
      <c r="F89" s="1">
        <v>64557.24</v>
      </c>
      <c r="G89" t="s">
        <v>38</v>
      </c>
      <c r="H89" t="s">
        <v>9</v>
      </c>
      <c r="I89" s="4">
        <f>ROUND((TrainData[[#This Row],[End Time]]-TrainData[[#This Row],[Start Time]])*24,0)</f>
        <v>20</v>
      </c>
      <c r="J89">
        <v>100</v>
      </c>
    </row>
    <row r="90" spans="1:10" x14ac:dyDescent="0.25">
      <c r="A90" s="3">
        <v>45937.420138888891</v>
      </c>
      <c r="B90" s="3">
        <v>45938.15</v>
      </c>
      <c r="C9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90" t="s">
        <v>30</v>
      </c>
      <c r="E90">
        <v>1145</v>
      </c>
      <c r="F90" s="1">
        <v>71586.259999999995</v>
      </c>
      <c r="G90" t="s">
        <v>34</v>
      </c>
      <c r="H90" t="s">
        <v>7</v>
      </c>
      <c r="I90" s="4">
        <f>ROUND((TrainData[[#This Row],[End Time]]-TrainData[[#This Row],[Start Time]])*24,0)</f>
        <v>18</v>
      </c>
      <c r="J90">
        <v>107</v>
      </c>
    </row>
    <row r="91" spans="1:10" x14ac:dyDescent="0.25">
      <c r="A91" s="3">
        <v>45943.809027777781</v>
      </c>
      <c r="B91" s="3">
        <v>45944.666666666664</v>
      </c>
      <c r="C9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91" t="s">
        <v>30</v>
      </c>
      <c r="E91">
        <v>1146</v>
      </c>
      <c r="F91" s="1">
        <v>71774.559999999998</v>
      </c>
      <c r="G91" t="s">
        <v>34</v>
      </c>
      <c r="H91" t="s">
        <v>7</v>
      </c>
      <c r="I91" s="4">
        <f>ROUND((TrainData[[#This Row],[End Time]]-TrainData[[#This Row],[Start Time]])*24,0)</f>
        <v>21</v>
      </c>
      <c r="J91">
        <v>107</v>
      </c>
    </row>
    <row r="92" spans="1:10" x14ac:dyDescent="0.25">
      <c r="A92" s="3">
        <v>45944.881944444445</v>
      </c>
      <c r="B92" s="3">
        <v>45945.892361111109</v>
      </c>
      <c r="C9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92" t="s">
        <v>30</v>
      </c>
      <c r="E92">
        <v>1147</v>
      </c>
      <c r="F92" s="1">
        <v>71806.59</v>
      </c>
      <c r="G92" t="s">
        <v>34</v>
      </c>
      <c r="H92" t="s">
        <v>7</v>
      </c>
      <c r="I92" s="4">
        <f>ROUND((TrainData[[#This Row],[End Time]]-TrainData[[#This Row],[Start Time]])*24,0)</f>
        <v>24</v>
      </c>
      <c r="J92">
        <v>107</v>
      </c>
    </row>
    <row r="93" spans="1:10" x14ac:dyDescent="0.25">
      <c r="A93" s="3">
        <v>45946.093055555553</v>
      </c>
      <c r="B93" s="3">
        <v>45946.96875</v>
      </c>
      <c r="C9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93" t="s">
        <v>32</v>
      </c>
      <c r="E93">
        <v>1148</v>
      </c>
      <c r="F93" s="1">
        <v>69643.77</v>
      </c>
      <c r="G93" t="s">
        <v>38</v>
      </c>
      <c r="H93" t="s">
        <v>9</v>
      </c>
      <c r="I93" s="4">
        <f>ROUND((TrainData[[#This Row],[End Time]]-TrainData[[#This Row],[Start Time]])*24,0)</f>
        <v>21</v>
      </c>
      <c r="J93">
        <v>108</v>
      </c>
    </row>
    <row r="94" spans="1:10" x14ac:dyDescent="0.25">
      <c r="A94" s="3">
        <v>45950.321527777778</v>
      </c>
      <c r="B94" s="3">
        <v>45951.367361111108</v>
      </c>
      <c r="C9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94" t="s">
        <v>30</v>
      </c>
      <c r="E94">
        <v>1149</v>
      </c>
      <c r="F94" s="1">
        <v>71996.36</v>
      </c>
      <c r="G94" t="s">
        <v>34</v>
      </c>
      <c r="H94" t="s">
        <v>7</v>
      </c>
      <c r="I94" s="4">
        <f>ROUND((TrainData[[#This Row],[End Time]]-TrainData[[#This Row],[Start Time]])*24,0)</f>
        <v>25</v>
      </c>
      <c r="J94">
        <v>107</v>
      </c>
    </row>
    <row r="95" spans="1:10" x14ac:dyDescent="0.25">
      <c r="A95" s="3">
        <v>45951.90902777778</v>
      </c>
      <c r="B95" s="3">
        <v>45953.121527777781</v>
      </c>
      <c r="C9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95" t="s">
        <v>30</v>
      </c>
      <c r="E95">
        <v>1150</v>
      </c>
      <c r="F95" s="1">
        <v>71962.89</v>
      </c>
      <c r="G95" t="s">
        <v>34</v>
      </c>
      <c r="H95" t="s">
        <v>7</v>
      </c>
      <c r="I95" s="4">
        <f>ROUND((TrainData[[#This Row],[End Time]]-TrainData[[#This Row],[Start Time]])*24,0)</f>
        <v>29</v>
      </c>
      <c r="J95">
        <v>107</v>
      </c>
    </row>
    <row r="96" spans="1:10" x14ac:dyDescent="0.25">
      <c r="A96" s="3">
        <v>45953.561111111114</v>
      </c>
      <c r="B96" s="3">
        <v>45954.655555555553</v>
      </c>
      <c r="C9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96" t="s">
        <v>30</v>
      </c>
      <c r="E96">
        <v>1151</v>
      </c>
      <c r="F96" s="1">
        <v>71976.86</v>
      </c>
      <c r="G96" t="s">
        <v>34</v>
      </c>
      <c r="H96" t="s">
        <v>7</v>
      </c>
      <c r="I96" s="4">
        <f>ROUND((TrainData[[#This Row],[End Time]]-TrainData[[#This Row],[Start Time]])*24,0)</f>
        <v>26</v>
      </c>
      <c r="J96">
        <v>107</v>
      </c>
    </row>
    <row r="97" spans="1:10" x14ac:dyDescent="0.25">
      <c r="A97" s="3">
        <v>45955.361805555556</v>
      </c>
      <c r="B97" s="3">
        <v>45956.393750000003</v>
      </c>
      <c r="C9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97" t="s">
        <v>30</v>
      </c>
      <c r="E97">
        <v>1152</v>
      </c>
      <c r="F97" s="1">
        <v>71825.539999999994</v>
      </c>
      <c r="G97" t="s">
        <v>34</v>
      </c>
      <c r="H97" t="s">
        <v>7</v>
      </c>
      <c r="I97" s="4">
        <f>ROUND((TrainData[[#This Row],[End Time]]-TrainData[[#This Row],[Start Time]])*24,0)</f>
        <v>25</v>
      </c>
      <c r="J97">
        <v>107</v>
      </c>
    </row>
    <row r="98" spans="1:10" x14ac:dyDescent="0.25">
      <c r="A98" s="3">
        <v>45956.663194444445</v>
      </c>
      <c r="B98" s="3">
        <v>45957.852777777778</v>
      </c>
      <c r="C9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98" t="s">
        <v>32</v>
      </c>
      <c r="E98">
        <v>1153</v>
      </c>
      <c r="F98" s="1">
        <v>68556.039999999994</v>
      </c>
      <c r="G98" t="s">
        <v>38</v>
      </c>
      <c r="H98" t="s">
        <v>9</v>
      </c>
      <c r="I98" s="4">
        <f>ROUND((TrainData[[#This Row],[End Time]]-TrainData[[#This Row],[Start Time]])*24,0)</f>
        <v>29</v>
      </c>
      <c r="J98">
        <v>106</v>
      </c>
    </row>
    <row r="99" spans="1:10" x14ac:dyDescent="0.25">
      <c r="A99" s="3">
        <v>45958.257638888892</v>
      </c>
      <c r="B99" s="3">
        <v>45959.443055555559</v>
      </c>
      <c r="C9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99" t="s">
        <v>30</v>
      </c>
      <c r="E99">
        <v>1154</v>
      </c>
      <c r="F99" s="1">
        <v>71782.94</v>
      </c>
      <c r="G99" t="s">
        <v>34</v>
      </c>
      <c r="H99" t="s">
        <v>7</v>
      </c>
      <c r="I99" s="4">
        <f>ROUND((TrainData[[#This Row],[End Time]]-TrainData[[#This Row],[Start Time]])*24,0)</f>
        <v>28</v>
      </c>
      <c r="J99">
        <v>107</v>
      </c>
    </row>
    <row r="100" spans="1:10" x14ac:dyDescent="0.25">
      <c r="A100" s="3">
        <v>45959.75277777778</v>
      </c>
      <c r="B100" s="3">
        <v>45960.868055555555</v>
      </c>
      <c r="C10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100" t="s">
        <v>30</v>
      </c>
      <c r="E100">
        <v>1155</v>
      </c>
      <c r="F100" s="1">
        <v>65326.82</v>
      </c>
      <c r="G100" t="s">
        <v>38</v>
      </c>
      <c r="H100" t="s">
        <v>9</v>
      </c>
      <c r="I100" s="4">
        <f>ROUND((TrainData[[#This Row],[End Time]]-TrainData[[#This Row],[Start Time]])*24,0)</f>
        <v>27</v>
      </c>
      <c r="J100">
        <v>101</v>
      </c>
    </row>
    <row r="101" spans="1:10" x14ac:dyDescent="0.25">
      <c r="A101" s="3">
        <v>45961.052083333336</v>
      </c>
      <c r="B101" s="3">
        <v>45962.007638888892</v>
      </c>
      <c r="C10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45931</v>
      </c>
      <c r="D101" t="s">
        <v>30</v>
      </c>
      <c r="E101">
        <v>1156</v>
      </c>
      <c r="F101" s="1">
        <v>72100.22</v>
      </c>
      <c r="G101" t="s">
        <v>34</v>
      </c>
      <c r="H101" t="s">
        <v>7</v>
      </c>
      <c r="I101" s="4">
        <f>ROUND((TrainData[[#This Row],[End Time]]-TrainData[[#This Row],[Start Time]])*24,0)</f>
        <v>23</v>
      </c>
      <c r="J101">
        <v>107</v>
      </c>
    </row>
    <row r="102" spans="1:10" x14ac:dyDescent="0.25">
      <c r="A102" s="3">
        <v>45962.59652777778</v>
      </c>
      <c r="B102" s="3">
        <v>45963.67083333333</v>
      </c>
      <c r="C10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02" t="s">
        <v>30</v>
      </c>
      <c r="E102">
        <v>1157</v>
      </c>
      <c r="F102" s="1">
        <v>71908.240000000005</v>
      </c>
      <c r="G102" t="s">
        <v>34</v>
      </c>
      <c r="H102" t="s">
        <v>7</v>
      </c>
      <c r="I102" s="4">
        <f>ROUND((TrainData[[#This Row],[End Time]]-TrainData[[#This Row],[Start Time]])*24,0)</f>
        <v>26</v>
      </c>
      <c r="J102">
        <v>107</v>
      </c>
    </row>
    <row r="103" spans="1:10" x14ac:dyDescent="0.25">
      <c r="A103" s="3">
        <v>45964.14166666667</v>
      </c>
      <c r="B103" s="3">
        <v>45965.328472222223</v>
      </c>
      <c r="C10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03" t="s">
        <v>30</v>
      </c>
      <c r="E103">
        <v>1158</v>
      </c>
      <c r="F103" s="1">
        <v>71868.490000000005</v>
      </c>
      <c r="G103" t="s">
        <v>34</v>
      </c>
      <c r="H103" t="s">
        <v>7</v>
      </c>
      <c r="I103" s="4">
        <f>ROUND((TrainData[[#This Row],[End Time]]-TrainData[[#This Row],[Start Time]])*24,0)</f>
        <v>28</v>
      </c>
      <c r="J103">
        <v>107</v>
      </c>
    </row>
    <row r="104" spans="1:10" x14ac:dyDescent="0.25">
      <c r="A104" s="3">
        <v>45966.574999999997</v>
      </c>
      <c r="B104" s="3">
        <v>45967.680555555555</v>
      </c>
      <c r="C10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04" t="s">
        <v>30</v>
      </c>
      <c r="E104">
        <v>1159</v>
      </c>
      <c r="F104" s="1">
        <v>72576.259999999995</v>
      </c>
      <c r="G104" t="s">
        <v>34</v>
      </c>
      <c r="H104" t="s">
        <v>7</v>
      </c>
      <c r="I104" s="4">
        <f>ROUND((TrainData[[#This Row],[End Time]]-TrainData[[#This Row],[Start Time]])*24,0)</f>
        <v>27</v>
      </c>
      <c r="J104">
        <v>108</v>
      </c>
    </row>
    <row r="105" spans="1:10" x14ac:dyDescent="0.25">
      <c r="A105" s="3">
        <v>45970.104861111111</v>
      </c>
      <c r="B105" s="3">
        <v>45971.397916666669</v>
      </c>
      <c r="C10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05" t="s">
        <v>32</v>
      </c>
      <c r="E105">
        <v>1160</v>
      </c>
      <c r="F105" s="1">
        <v>71415.53</v>
      </c>
      <c r="G105" t="s">
        <v>38</v>
      </c>
      <c r="H105" t="s">
        <v>9</v>
      </c>
      <c r="I105" s="4">
        <f>ROUND((TrainData[[#This Row],[End Time]]-TrainData[[#This Row],[Start Time]])*24,0)</f>
        <v>31</v>
      </c>
      <c r="J105">
        <v>108</v>
      </c>
    </row>
    <row r="106" spans="1:10" x14ac:dyDescent="0.25">
      <c r="A106" s="3">
        <v>45972.091666666667</v>
      </c>
      <c r="B106" s="3">
        <v>45973.429861111108</v>
      </c>
      <c r="C10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06" t="s">
        <v>30</v>
      </c>
      <c r="E106">
        <v>1161</v>
      </c>
      <c r="F106" s="1">
        <v>72610.84</v>
      </c>
      <c r="G106" t="s">
        <v>34</v>
      </c>
      <c r="H106" t="s">
        <v>7</v>
      </c>
      <c r="I106" s="4">
        <f>ROUND((TrainData[[#This Row],[End Time]]-TrainData[[#This Row],[Start Time]])*24,0)</f>
        <v>32</v>
      </c>
      <c r="J106">
        <v>108</v>
      </c>
    </row>
    <row r="107" spans="1:10" x14ac:dyDescent="0.25">
      <c r="A107" s="3">
        <v>45973.648611111108</v>
      </c>
      <c r="B107" s="3">
        <v>45974.946527777778</v>
      </c>
      <c r="C10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07" t="s">
        <v>32</v>
      </c>
      <c r="E107">
        <v>1162</v>
      </c>
      <c r="F107" s="1">
        <v>69937.350000000006</v>
      </c>
      <c r="G107" t="s">
        <v>38</v>
      </c>
      <c r="H107" t="s">
        <v>9</v>
      </c>
      <c r="I107" s="4">
        <f>ROUND((TrainData[[#This Row],[End Time]]-TrainData[[#This Row],[Start Time]])*24,0)</f>
        <v>31</v>
      </c>
      <c r="J107">
        <v>108</v>
      </c>
    </row>
    <row r="108" spans="1:10" x14ac:dyDescent="0.25">
      <c r="A108" s="3">
        <v>45975.821527777778</v>
      </c>
      <c r="B108" s="3">
        <v>45976.986805555556</v>
      </c>
      <c r="C10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08" t="s">
        <v>30</v>
      </c>
      <c r="E108">
        <v>1163</v>
      </c>
      <c r="F108" s="1">
        <v>72705.100000000006</v>
      </c>
      <c r="G108" t="s">
        <v>34</v>
      </c>
      <c r="H108" t="s">
        <v>7</v>
      </c>
      <c r="I108" s="4">
        <f>ROUND((TrainData[[#This Row],[End Time]]-TrainData[[#This Row],[Start Time]])*24,0)</f>
        <v>28</v>
      </c>
      <c r="J108">
        <v>108</v>
      </c>
    </row>
    <row r="109" spans="1:10" x14ac:dyDescent="0.25">
      <c r="A109" s="3">
        <v>45977.207638888889</v>
      </c>
      <c r="B109" s="3">
        <v>45978.178472222222</v>
      </c>
      <c r="C10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09" t="s">
        <v>30</v>
      </c>
      <c r="E109">
        <v>1164</v>
      </c>
      <c r="F109" s="1">
        <v>72616.91</v>
      </c>
      <c r="G109" t="s">
        <v>34</v>
      </c>
      <c r="H109" t="s">
        <v>7</v>
      </c>
      <c r="I109" s="4">
        <f>ROUND((TrainData[[#This Row],[End Time]]-TrainData[[#This Row],[Start Time]])*24,0)</f>
        <v>23</v>
      </c>
      <c r="J109">
        <v>108</v>
      </c>
    </row>
    <row r="110" spans="1:10" x14ac:dyDescent="0.25">
      <c r="A110" s="3">
        <v>45984.996527777781</v>
      </c>
      <c r="B110" s="3">
        <v>45985.944444444445</v>
      </c>
      <c r="C11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10" t="s">
        <v>30</v>
      </c>
      <c r="E110">
        <v>1165</v>
      </c>
      <c r="F110" s="1">
        <v>72802</v>
      </c>
      <c r="G110" t="s">
        <v>34</v>
      </c>
      <c r="H110" t="s">
        <v>7</v>
      </c>
      <c r="I110" s="4">
        <f>ROUND((TrainData[[#This Row],[End Time]]-TrainData[[#This Row],[Start Time]])*24,0)</f>
        <v>23</v>
      </c>
      <c r="J110">
        <v>108</v>
      </c>
    </row>
    <row r="111" spans="1:10" x14ac:dyDescent="0.25">
      <c r="A111" s="3">
        <v>45986.203472222223</v>
      </c>
      <c r="B111" s="3">
        <v>45987.132638888892</v>
      </c>
      <c r="C11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11" t="s">
        <v>30</v>
      </c>
      <c r="E111">
        <v>1166</v>
      </c>
      <c r="F111" s="1">
        <v>72770.960000000006</v>
      </c>
      <c r="G111" t="s">
        <v>34</v>
      </c>
      <c r="H111" t="s">
        <v>7</v>
      </c>
      <c r="I111" s="4">
        <f>ROUND((TrainData[[#This Row],[End Time]]-TrainData[[#This Row],[Start Time]])*24,0)</f>
        <v>22</v>
      </c>
      <c r="J111">
        <v>108</v>
      </c>
    </row>
    <row r="112" spans="1:10" x14ac:dyDescent="0.25">
      <c r="A112" s="3">
        <v>45987.3125</v>
      </c>
      <c r="B112" s="3">
        <v>45988.427777777775</v>
      </c>
      <c r="C11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12" t="s">
        <v>30</v>
      </c>
      <c r="E112">
        <v>1167</v>
      </c>
      <c r="F112" s="1">
        <v>72840.03</v>
      </c>
      <c r="G112" t="s">
        <v>34</v>
      </c>
      <c r="H112" t="s">
        <v>7</v>
      </c>
      <c r="I112" s="4">
        <f>ROUND((TrainData[[#This Row],[End Time]]-TrainData[[#This Row],[Start Time]])*24,0)</f>
        <v>27</v>
      </c>
      <c r="J112">
        <v>108</v>
      </c>
    </row>
    <row r="113" spans="1:11" x14ac:dyDescent="0.25">
      <c r="A113" s="3">
        <v>45988.801388888889</v>
      </c>
      <c r="B113" s="3">
        <v>45989.96597222222</v>
      </c>
      <c r="C11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13" t="s">
        <v>32</v>
      </c>
      <c r="E113">
        <v>1168</v>
      </c>
      <c r="F113" s="1">
        <v>67812.320000000007</v>
      </c>
      <c r="G113" t="s">
        <v>38</v>
      </c>
      <c r="H113" t="s">
        <v>9</v>
      </c>
      <c r="I113" s="4">
        <f>ROUND((TrainData[[#This Row],[End Time]]-TrainData[[#This Row],[Start Time]])*24,0)</f>
        <v>28</v>
      </c>
      <c r="J113">
        <v>104</v>
      </c>
    </row>
    <row r="114" spans="1:11" x14ac:dyDescent="0.25">
      <c r="A114" s="3">
        <v>45990.23541666667</v>
      </c>
      <c r="B114" s="3">
        <v>45991.25277777778</v>
      </c>
      <c r="C11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14" t="s">
        <v>30</v>
      </c>
      <c r="E114">
        <v>1169</v>
      </c>
      <c r="F114" s="1">
        <v>72697.75</v>
      </c>
      <c r="G114" t="s">
        <v>34</v>
      </c>
      <c r="H114" t="s">
        <v>7</v>
      </c>
      <c r="I114" s="4">
        <f>ROUND((TrainData[[#This Row],[End Time]]-TrainData[[#This Row],[Start Time]])*24,0)</f>
        <v>24</v>
      </c>
      <c r="J114">
        <v>108</v>
      </c>
    </row>
    <row r="115" spans="1:11" x14ac:dyDescent="0.25">
      <c r="A115" s="3">
        <v>45991.431250000001</v>
      </c>
      <c r="B115" s="3">
        <v>45992.255555555559</v>
      </c>
      <c r="C11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45962</v>
      </c>
      <c r="D115" t="s">
        <v>30</v>
      </c>
      <c r="E115">
        <v>1170</v>
      </c>
      <c r="F115" s="1">
        <v>43320.94</v>
      </c>
      <c r="G115" t="s">
        <v>34</v>
      </c>
      <c r="H115" t="s">
        <v>7</v>
      </c>
      <c r="I115" s="4">
        <f>ROUND((TrainData[[#This Row],[End Time]]-TrainData[[#This Row],[Start Time]])*24,0)</f>
        <v>20</v>
      </c>
      <c r="J115">
        <v>64</v>
      </c>
      <c r="K115" t="s">
        <v>18</v>
      </c>
    </row>
    <row r="116" spans="1:11" x14ac:dyDescent="0.25">
      <c r="A116" s="3">
        <v>45992.334722222222</v>
      </c>
      <c r="B116" s="3">
        <v>45992.702777777777</v>
      </c>
      <c r="C11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16" t="s">
        <v>30</v>
      </c>
      <c r="E116">
        <v>1170</v>
      </c>
      <c r="F116" s="1">
        <v>29638.01</v>
      </c>
      <c r="G116" t="s">
        <v>34</v>
      </c>
      <c r="H116" t="s">
        <v>7</v>
      </c>
      <c r="I116" s="4">
        <f>ROUND((TrainData[[#This Row],[End Time]]-TrainData[[#This Row],[Start Time]])*24,0)</f>
        <v>9</v>
      </c>
      <c r="J116">
        <v>44</v>
      </c>
      <c r="K116" t="s">
        <v>18</v>
      </c>
    </row>
    <row r="117" spans="1:11" x14ac:dyDescent="0.25">
      <c r="A117" s="3">
        <v>45993.904166666667</v>
      </c>
      <c r="B117" s="3">
        <v>45995.231249999997</v>
      </c>
      <c r="C11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17" t="s">
        <v>30</v>
      </c>
      <c r="E117">
        <v>1171</v>
      </c>
      <c r="F117" s="1">
        <v>72487.87</v>
      </c>
      <c r="G117" t="s">
        <v>34</v>
      </c>
      <c r="H117" t="s">
        <v>7</v>
      </c>
      <c r="I117" s="4">
        <f>ROUND((TrainData[[#This Row],[End Time]]-TrainData[[#This Row],[Start Time]])*24,0)</f>
        <v>32</v>
      </c>
      <c r="J117">
        <v>107</v>
      </c>
    </row>
    <row r="118" spans="1:11" x14ac:dyDescent="0.25">
      <c r="A118" s="3">
        <v>45997.104861111111</v>
      </c>
      <c r="B118" s="3">
        <v>45998.277777777781</v>
      </c>
      <c r="C11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18" t="s">
        <v>30</v>
      </c>
      <c r="E118">
        <v>1172</v>
      </c>
      <c r="F118" s="1">
        <v>72337.070000000007</v>
      </c>
      <c r="G118" t="s">
        <v>34</v>
      </c>
      <c r="H118" t="s">
        <v>7</v>
      </c>
      <c r="I118" s="4">
        <f>ROUND((TrainData[[#This Row],[End Time]]-TrainData[[#This Row],[Start Time]])*24,0)</f>
        <v>28</v>
      </c>
      <c r="J118">
        <v>107</v>
      </c>
    </row>
    <row r="119" spans="1:11" x14ac:dyDescent="0.25">
      <c r="A119" s="3">
        <v>45998.724305555559</v>
      </c>
      <c r="B119" s="3">
        <v>45999.677083333336</v>
      </c>
      <c r="C11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19" t="s">
        <v>32</v>
      </c>
      <c r="E119">
        <v>1173</v>
      </c>
      <c r="F119" s="1">
        <v>64178.52</v>
      </c>
      <c r="G119" t="s">
        <v>36</v>
      </c>
      <c r="H119" t="s">
        <v>7</v>
      </c>
      <c r="I119" s="4">
        <f>ROUND((TrainData[[#This Row],[End Time]]-TrainData[[#This Row],[Start Time]])*24,0)</f>
        <v>23</v>
      </c>
      <c r="J119">
        <v>98</v>
      </c>
    </row>
    <row r="120" spans="1:11" x14ac:dyDescent="0.25">
      <c r="A120" s="3">
        <v>46001.868750000001</v>
      </c>
      <c r="B120" s="3">
        <v>46002.964583333334</v>
      </c>
      <c r="C120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20" t="s">
        <v>31</v>
      </c>
      <c r="E120">
        <v>1174</v>
      </c>
      <c r="F120" s="1">
        <v>60979.49</v>
      </c>
      <c r="G120" t="s">
        <v>35</v>
      </c>
      <c r="H120" t="s">
        <v>7</v>
      </c>
      <c r="I120" s="4">
        <f>ROUND((TrainData[[#This Row],[End Time]]-TrainData[[#This Row],[Start Time]])*24,0)</f>
        <v>26</v>
      </c>
      <c r="J120">
        <v>96</v>
      </c>
    </row>
    <row r="121" spans="1:11" x14ac:dyDescent="0.25">
      <c r="A121" s="3">
        <v>46003.204861111109</v>
      </c>
      <c r="B121" s="3">
        <v>46004.138194444444</v>
      </c>
      <c r="C121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21" t="s">
        <v>30</v>
      </c>
      <c r="E121">
        <v>1175</v>
      </c>
      <c r="F121" s="1">
        <v>73344.37</v>
      </c>
      <c r="G121" t="s">
        <v>34</v>
      </c>
      <c r="H121" t="s">
        <v>7</v>
      </c>
      <c r="I121" s="4">
        <f>ROUND((TrainData[[#This Row],[End Time]]-TrainData[[#This Row],[Start Time]])*24,0)</f>
        <v>22</v>
      </c>
      <c r="J121">
        <v>108</v>
      </c>
    </row>
    <row r="122" spans="1:11" x14ac:dyDescent="0.25">
      <c r="A122" s="3">
        <v>46006.633333333331</v>
      </c>
      <c r="B122" s="3">
        <v>46007.597222222219</v>
      </c>
      <c r="C122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22" t="s">
        <v>30</v>
      </c>
      <c r="E122">
        <v>1176</v>
      </c>
      <c r="F122" s="1">
        <v>73125.52</v>
      </c>
      <c r="G122" t="s">
        <v>34</v>
      </c>
      <c r="H122" t="s">
        <v>7</v>
      </c>
      <c r="I122" s="4">
        <f>ROUND((TrainData[[#This Row],[End Time]]-TrainData[[#This Row],[Start Time]])*24,0)</f>
        <v>23</v>
      </c>
      <c r="J122">
        <v>108</v>
      </c>
    </row>
    <row r="123" spans="1:11" x14ac:dyDescent="0.25">
      <c r="A123" s="3">
        <v>46008.22152777778</v>
      </c>
      <c r="B123" s="3">
        <v>46009.557638888888</v>
      </c>
      <c r="C123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23" t="s">
        <v>30</v>
      </c>
      <c r="E123">
        <v>1177</v>
      </c>
      <c r="F123" s="1">
        <v>72806.59</v>
      </c>
      <c r="G123" t="s">
        <v>34</v>
      </c>
      <c r="H123" t="s">
        <v>7</v>
      </c>
      <c r="I123" s="4">
        <f>ROUND((TrainData[[#This Row],[End Time]]-TrainData[[#This Row],[Start Time]])*24,0)</f>
        <v>32</v>
      </c>
      <c r="J123">
        <v>108</v>
      </c>
    </row>
    <row r="124" spans="1:11" x14ac:dyDescent="0.25">
      <c r="A124" s="3">
        <v>46010.724999999999</v>
      </c>
      <c r="B124" s="3">
        <v>46011.997916666667</v>
      </c>
      <c r="C124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24" t="s">
        <v>32</v>
      </c>
      <c r="E124">
        <v>1178</v>
      </c>
      <c r="F124" s="1">
        <v>64188.08</v>
      </c>
      <c r="G124" t="s">
        <v>36</v>
      </c>
      <c r="H124" t="s">
        <v>7</v>
      </c>
      <c r="I124" s="4">
        <f>ROUND((TrainData[[#This Row],[End Time]]-TrainData[[#This Row],[Start Time]])*24,0)</f>
        <v>31</v>
      </c>
      <c r="J124">
        <v>97</v>
      </c>
    </row>
    <row r="125" spans="1:11" x14ac:dyDescent="0.25">
      <c r="A125" s="3">
        <v>46012.750694444447</v>
      </c>
      <c r="B125" s="3">
        <v>46013.761805555558</v>
      </c>
      <c r="C125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25" t="s">
        <v>30</v>
      </c>
      <c r="E125">
        <v>1179</v>
      </c>
      <c r="F125" s="1">
        <v>72761.070000000007</v>
      </c>
      <c r="G125" t="s">
        <v>34</v>
      </c>
      <c r="H125" t="s">
        <v>7</v>
      </c>
      <c r="I125" s="4">
        <f>ROUND((TrainData[[#This Row],[End Time]]-TrainData[[#This Row],[Start Time]])*24,0)</f>
        <v>24</v>
      </c>
      <c r="J125">
        <v>108</v>
      </c>
    </row>
    <row r="126" spans="1:11" x14ac:dyDescent="0.25">
      <c r="A126" s="3">
        <v>46014.055555555555</v>
      </c>
      <c r="B126" s="3">
        <v>46014.850694444445</v>
      </c>
      <c r="C126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26" t="s">
        <v>32</v>
      </c>
      <c r="E126">
        <v>1180</v>
      </c>
      <c r="F126" s="1">
        <v>61714.13</v>
      </c>
      <c r="G126" t="s">
        <v>36</v>
      </c>
      <c r="H126" t="s">
        <v>7</v>
      </c>
      <c r="I126" s="4">
        <f>ROUND((TrainData[[#This Row],[End Time]]-TrainData[[#This Row],[Start Time]])*24,0)</f>
        <v>19</v>
      </c>
      <c r="J126">
        <v>94</v>
      </c>
    </row>
    <row r="127" spans="1:11" x14ac:dyDescent="0.25">
      <c r="A127" s="3">
        <v>46015.158333333333</v>
      </c>
      <c r="B127" s="3">
        <v>46016.359722222223</v>
      </c>
      <c r="C127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27" t="s">
        <v>30</v>
      </c>
      <c r="E127">
        <v>1181</v>
      </c>
      <c r="F127" s="1">
        <v>72759.75</v>
      </c>
      <c r="G127" t="s">
        <v>34</v>
      </c>
      <c r="H127" t="s">
        <v>7</v>
      </c>
      <c r="I127" s="4">
        <f>ROUND((TrainData[[#This Row],[End Time]]-TrainData[[#This Row],[Start Time]])*24,0)</f>
        <v>29</v>
      </c>
      <c r="J127">
        <v>108</v>
      </c>
    </row>
    <row r="128" spans="1:11" x14ac:dyDescent="0.25">
      <c r="A128" s="3">
        <v>46017.660416666666</v>
      </c>
      <c r="B128" s="3">
        <v>46018.727777777778</v>
      </c>
      <c r="C128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28" t="s">
        <v>30</v>
      </c>
      <c r="E128">
        <v>1182</v>
      </c>
      <c r="F128" s="1">
        <v>72837.279999999999</v>
      </c>
      <c r="G128" t="s">
        <v>34</v>
      </c>
      <c r="H128" t="s">
        <v>7</v>
      </c>
      <c r="I128" s="4">
        <f>ROUND((TrainData[[#This Row],[End Time]]-TrainData[[#This Row],[Start Time]])*24,0)</f>
        <v>26</v>
      </c>
      <c r="J128">
        <v>108</v>
      </c>
    </row>
    <row r="129" spans="1:10" x14ac:dyDescent="0.25">
      <c r="A129" s="3">
        <v>46019.369444444441</v>
      </c>
      <c r="B129" s="3">
        <v>46020.618055555555</v>
      </c>
      <c r="C129" s="5">
        <f>IF(TrainData[[#This Row],[End Time]]&gt;=EOMONTH(TrainData[[#This Row],[Start Time]],0)+DAY(1)+TIME(7,0,0),DATE(YEAR(TrainData[[#This Row],[End Time]]),MONTH(TrainData[[#This Row],[End Time]]),DAY(1)),DATE(YEAR(TrainData[[#This Row],[Start Time]]),MONTH(TrainData[[#This Row],[Start Time]]),DAY(1)))</f>
        <v>45992</v>
      </c>
      <c r="D129" t="s">
        <v>30</v>
      </c>
      <c r="E129">
        <v>1183</v>
      </c>
      <c r="F129" s="1">
        <v>72975.009999999995</v>
      </c>
      <c r="G129" t="s">
        <v>34</v>
      </c>
      <c r="H129" t="s">
        <v>7</v>
      </c>
      <c r="I129" s="4">
        <f>ROUND((TrainData[[#This Row],[End Time]]-TrainData[[#This Row],[Start Time]])*24,0)</f>
        <v>30</v>
      </c>
      <c r="J129">
        <v>108</v>
      </c>
    </row>
    <row r="130" spans="1:10" x14ac:dyDescent="0.25">
      <c r="A130" s="3"/>
      <c r="B130" s="3"/>
    </row>
    <row r="131" spans="1:10" x14ac:dyDescent="0.25">
      <c r="A131" s="3"/>
      <c r="B131" s="3"/>
    </row>
    <row r="132" spans="1:10" x14ac:dyDescent="0.25">
      <c r="A132" s="3"/>
      <c r="B132" s="3"/>
    </row>
    <row r="133" spans="1:10" x14ac:dyDescent="0.25">
      <c r="A133" s="3"/>
      <c r="B133" s="3"/>
    </row>
    <row r="134" spans="1:10" x14ac:dyDescent="0.25">
      <c r="A134" s="3"/>
      <c r="B134" s="3"/>
    </row>
    <row r="135" spans="1:10" x14ac:dyDescent="0.25">
      <c r="A135" s="3"/>
      <c r="B135" s="3"/>
    </row>
    <row r="136" spans="1:10" x14ac:dyDescent="0.25">
      <c r="A136" s="3"/>
      <c r="B136" s="3"/>
    </row>
    <row r="137" spans="1:10" x14ac:dyDescent="0.25">
      <c r="A137" s="3"/>
      <c r="B137" s="3"/>
    </row>
    <row r="138" spans="1:10" x14ac:dyDescent="0.25">
      <c r="A138" s="3"/>
      <c r="B138" s="3"/>
    </row>
    <row r="139" spans="1:10" x14ac:dyDescent="0.25">
      <c r="A139" s="3"/>
      <c r="B139" s="3"/>
    </row>
    <row r="140" spans="1:10" x14ac:dyDescent="0.25">
      <c r="A140" s="3"/>
      <c r="B140" s="3"/>
    </row>
    <row r="141" spans="1:10" x14ac:dyDescent="0.25">
      <c r="A141" s="3"/>
      <c r="B141" s="3"/>
    </row>
    <row r="142" spans="1:10" x14ac:dyDescent="0.25">
      <c r="A142" s="3"/>
      <c r="B142" s="3"/>
    </row>
    <row r="143" spans="1:10" x14ac:dyDescent="0.25">
      <c r="A143" s="3"/>
      <c r="B143" s="3"/>
    </row>
    <row r="144" spans="1:10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</row>
    <row r="292" spans="1:2" x14ac:dyDescent="0.25">
      <c r="A292" s="3"/>
    </row>
    <row r="293" spans="1:2" x14ac:dyDescent="0.25">
      <c r="A293" s="3"/>
    </row>
    <row r="294" spans="1:2" x14ac:dyDescent="0.25">
      <c r="A29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177F-2DB7-445D-989C-B9AD883859F8}">
  <dimension ref="A1:F40"/>
  <sheetViews>
    <sheetView zoomScale="80" zoomScaleNormal="80" workbookViewId="0">
      <selection activeCell="S16" sqref="S16"/>
    </sheetView>
  </sheetViews>
  <sheetFormatPr defaultRowHeight="15" x14ac:dyDescent="0.25"/>
  <cols>
    <col min="1" max="1" width="21.28515625" bestFit="1" customWidth="1"/>
    <col min="2" max="2" width="17.42578125" bestFit="1" customWidth="1"/>
    <col min="3" max="3" width="12.28515625" bestFit="1" customWidth="1"/>
    <col min="4" max="4" width="13.85546875" bestFit="1" customWidth="1"/>
    <col min="5" max="5" width="12.28515625" bestFit="1" customWidth="1"/>
    <col min="6" max="6" width="13.85546875" bestFit="1" customWidth="1"/>
    <col min="7" max="7" width="10.42578125" bestFit="1" customWidth="1"/>
  </cols>
  <sheetData>
    <row r="1" spans="1:6" x14ac:dyDescent="0.25">
      <c r="A1" s="2" t="s">
        <v>28</v>
      </c>
      <c r="B1" s="2" t="s">
        <v>0</v>
      </c>
    </row>
    <row r="2" spans="1:6" x14ac:dyDescent="0.25">
      <c r="A2" s="2" t="s">
        <v>1</v>
      </c>
      <c r="B2" t="s">
        <v>30</v>
      </c>
      <c r="C2" t="s">
        <v>31</v>
      </c>
      <c r="D2" t="s">
        <v>32</v>
      </c>
      <c r="E2" t="s">
        <v>33</v>
      </c>
      <c r="F2" t="s">
        <v>2</v>
      </c>
    </row>
    <row r="3" spans="1:6" x14ac:dyDescent="0.25">
      <c r="A3" s="6">
        <v>45658</v>
      </c>
      <c r="B3" s="8">
        <v>626393.24999999988</v>
      </c>
      <c r="C3" s="8"/>
      <c r="D3" s="8"/>
      <c r="E3" s="8"/>
      <c r="F3" s="8">
        <v>626393.24999999988</v>
      </c>
    </row>
    <row r="4" spans="1:6" x14ac:dyDescent="0.25">
      <c r="A4" s="6">
        <v>45689</v>
      </c>
      <c r="B4" s="8">
        <v>421776.02000000008</v>
      </c>
      <c r="C4" s="8"/>
      <c r="D4" s="8"/>
      <c r="E4" s="8"/>
      <c r="F4" s="8">
        <v>421776.02000000008</v>
      </c>
    </row>
    <row r="5" spans="1:6" x14ac:dyDescent="0.25">
      <c r="A5" s="6">
        <v>45717</v>
      </c>
      <c r="B5" s="8">
        <v>640949.75</v>
      </c>
      <c r="C5" s="8"/>
      <c r="D5" s="8"/>
      <c r="E5" s="8"/>
      <c r="F5" s="8">
        <v>640949.75</v>
      </c>
    </row>
    <row r="6" spans="1:6" x14ac:dyDescent="0.25">
      <c r="A6" s="6">
        <v>45748</v>
      </c>
      <c r="B6" s="8">
        <v>570370.17999999993</v>
      </c>
      <c r="C6" s="8"/>
      <c r="D6" s="8"/>
      <c r="E6" s="8"/>
      <c r="F6" s="8">
        <v>570370.17999999993</v>
      </c>
    </row>
    <row r="7" spans="1:6" x14ac:dyDescent="0.25">
      <c r="A7" s="6">
        <v>45778</v>
      </c>
      <c r="B7" s="8">
        <v>636837.92999999993</v>
      </c>
      <c r="C7" s="8"/>
      <c r="D7" s="8"/>
      <c r="E7" s="8"/>
      <c r="F7" s="8">
        <v>636837.92999999993</v>
      </c>
    </row>
    <row r="8" spans="1:6" x14ac:dyDescent="0.25">
      <c r="A8" s="6">
        <v>45809</v>
      </c>
      <c r="B8" s="8">
        <v>354766.28</v>
      </c>
      <c r="C8" s="8">
        <v>139073.24</v>
      </c>
      <c r="D8" s="8">
        <v>116764.94</v>
      </c>
      <c r="E8" s="8">
        <v>128401.75</v>
      </c>
      <c r="F8" s="8">
        <v>739006.21</v>
      </c>
    </row>
    <row r="9" spans="1:6" x14ac:dyDescent="0.25">
      <c r="A9" s="6">
        <v>45839</v>
      </c>
      <c r="B9" s="8">
        <v>283650.61</v>
      </c>
      <c r="C9" s="8"/>
      <c r="D9" s="8">
        <v>196311.8</v>
      </c>
      <c r="E9" s="8">
        <v>61389.59</v>
      </c>
      <c r="F9" s="8">
        <v>541352</v>
      </c>
    </row>
    <row r="10" spans="1:6" x14ac:dyDescent="0.25">
      <c r="A10" s="6">
        <v>45870</v>
      </c>
      <c r="B10" s="8">
        <v>499883.55999999988</v>
      </c>
      <c r="C10" s="8"/>
      <c r="D10" s="8">
        <v>332830.91000000003</v>
      </c>
      <c r="E10" s="8"/>
      <c r="F10" s="8">
        <v>832714.47</v>
      </c>
    </row>
    <row r="11" spans="1:6" x14ac:dyDescent="0.25">
      <c r="A11" s="6">
        <v>45901</v>
      </c>
      <c r="B11" s="8">
        <v>711220.17</v>
      </c>
      <c r="C11" s="8">
        <v>68998.55</v>
      </c>
      <c r="D11" s="8">
        <v>194006.46000000002</v>
      </c>
      <c r="E11" s="8"/>
      <c r="F11" s="8">
        <v>974225.18000000017</v>
      </c>
    </row>
    <row r="12" spans="1:6" x14ac:dyDescent="0.25">
      <c r="A12" s="6">
        <v>45931</v>
      </c>
      <c r="B12" s="8">
        <v>783598.99999999988</v>
      </c>
      <c r="C12" s="8"/>
      <c r="D12" s="8">
        <v>202757.05</v>
      </c>
      <c r="E12" s="8"/>
      <c r="F12" s="8">
        <v>986356.04999999981</v>
      </c>
    </row>
    <row r="13" spans="1:6" x14ac:dyDescent="0.25">
      <c r="A13" s="6">
        <v>45962</v>
      </c>
      <c r="B13" s="8">
        <v>768717.52</v>
      </c>
      <c r="C13" s="8"/>
      <c r="D13" s="8">
        <v>209165.2</v>
      </c>
      <c r="E13" s="8"/>
      <c r="F13" s="8">
        <v>977882.72</v>
      </c>
    </row>
    <row r="14" spans="1:6" x14ac:dyDescent="0.25">
      <c r="A14" s="6">
        <v>45992</v>
      </c>
      <c r="B14" s="8">
        <v>685072.54</v>
      </c>
      <c r="C14" s="8">
        <v>60979.49</v>
      </c>
      <c r="D14" s="8">
        <v>190080.73</v>
      </c>
      <c r="E14" s="8"/>
      <c r="F14" s="8">
        <v>936132.76</v>
      </c>
    </row>
    <row r="15" spans="1:6" x14ac:dyDescent="0.25">
      <c r="A15" s="6" t="s">
        <v>2</v>
      </c>
      <c r="B15" s="8">
        <v>6983236.8099999996</v>
      </c>
      <c r="C15" s="8">
        <v>269051.27999999997</v>
      </c>
      <c r="D15" s="8">
        <v>1441917.09</v>
      </c>
      <c r="E15" s="8">
        <v>189791.34</v>
      </c>
      <c r="F15" s="8">
        <v>8883996.5199999996</v>
      </c>
    </row>
    <row r="26" spans="1:6" x14ac:dyDescent="0.25">
      <c r="A26" s="2" t="s">
        <v>29</v>
      </c>
      <c r="B26" s="2" t="s">
        <v>0</v>
      </c>
    </row>
    <row r="27" spans="1:6" x14ac:dyDescent="0.25">
      <c r="A27" s="2" t="s">
        <v>1</v>
      </c>
      <c r="B27" t="s">
        <v>30</v>
      </c>
      <c r="C27" t="s">
        <v>31</v>
      </c>
      <c r="D27" t="s">
        <v>32</v>
      </c>
      <c r="E27" t="s">
        <v>33</v>
      </c>
      <c r="F27" t="s">
        <v>2</v>
      </c>
    </row>
    <row r="28" spans="1:6" x14ac:dyDescent="0.25">
      <c r="A28" s="6">
        <v>45658</v>
      </c>
      <c r="B28">
        <v>9</v>
      </c>
      <c r="F28">
        <v>9</v>
      </c>
    </row>
    <row r="29" spans="1:6" x14ac:dyDescent="0.25">
      <c r="A29" s="6">
        <v>45689</v>
      </c>
      <c r="B29">
        <v>6</v>
      </c>
      <c r="F29">
        <v>6</v>
      </c>
    </row>
    <row r="30" spans="1:6" x14ac:dyDescent="0.25">
      <c r="A30" s="6">
        <v>45717</v>
      </c>
      <c r="B30">
        <v>9</v>
      </c>
      <c r="F30">
        <v>9</v>
      </c>
    </row>
    <row r="31" spans="1:6" x14ac:dyDescent="0.25">
      <c r="A31" s="6">
        <v>45748</v>
      </c>
      <c r="B31">
        <v>8</v>
      </c>
      <c r="F31">
        <v>8</v>
      </c>
    </row>
    <row r="32" spans="1:6" x14ac:dyDescent="0.25">
      <c r="A32" s="6">
        <v>45778</v>
      </c>
      <c r="B32">
        <v>9</v>
      </c>
      <c r="F32">
        <v>9</v>
      </c>
    </row>
    <row r="33" spans="1:6" x14ac:dyDescent="0.25">
      <c r="A33" s="6">
        <v>45809</v>
      </c>
      <c r="B33">
        <v>5</v>
      </c>
      <c r="C33">
        <v>2</v>
      </c>
      <c r="D33">
        <v>2</v>
      </c>
      <c r="E33">
        <v>2</v>
      </c>
      <c r="F33">
        <v>11</v>
      </c>
    </row>
    <row r="34" spans="1:6" x14ac:dyDescent="0.25">
      <c r="A34" s="6">
        <v>45839</v>
      </c>
      <c r="B34">
        <v>4</v>
      </c>
      <c r="D34">
        <v>3</v>
      </c>
      <c r="E34">
        <v>1</v>
      </c>
      <c r="F34">
        <v>8</v>
      </c>
    </row>
    <row r="35" spans="1:6" x14ac:dyDescent="0.25">
      <c r="A35" s="6">
        <v>45870</v>
      </c>
      <c r="B35">
        <v>7</v>
      </c>
      <c r="D35">
        <v>5</v>
      </c>
      <c r="F35">
        <v>12</v>
      </c>
    </row>
    <row r="36" spans="1:6" x14ac:dyDescent="0.25">
      <c r="A36" s="6">
        <v>45901</v>
      </c>
      <c r="B36">
        <v>10</v>
      </c>
      <c r="C36">
        <v>1</v>
      </c>
      <c r="D36">
        <v>3</v>
      </c>
      <c r="F36">
        <v>14</v>
      </c>
    </row>
    <row r="37" spans="1:6" x14ac:dyDescent="0.25">
      <c r="A37" s="6">
        <v>45931</v>
      </c>
      <c r="B37">
        <v>11</v>
      </c>
      <c r="D37">
        <v>3</v>
      </c>
      <c r="F37">
        <v>14</v>
      </c>
    </row>
    <row r="38" spans="1:6" x14ac:dyDescent="0.25">
      <c r="A38" s="6">
        <v>45962</v>
      </c>
      <c r="B38">
        <v>11</v>
      </c>
      <c r="D38">
        <v>3</v>
      </c>
      <c r="F38">
        <v>14</v>
      </c>
    </row>
    <row r="39" spans="1:6" x14ac:dyDescent="0.25">
      <c r="A39" s="6">
        <v>45992</v>
      </c>
      <c r="B39">
        <v>10</v>
      </c>
      <c r="C39">
        <v>1</v>
      </c>
      <c r="D39">
        <v>3</v>
      </c>
      <c r="F39">
        <v>14</v>
      </c>
    </row>
    <row r="40" spans="1:6" x14ac:dyDescent="0.25">
      <c r="A40" s="6" t="s">
        <v>2</v>
      </c>
      <c r="B40">
        <v>99</v>
      </c>
      <c r="C40">
        <v>4</v>
      </c>
      <c r="D40">
        <v>22</v>
      </c>
      <c r="E40">
        <v>3</v>
      </c>
      <c r="F40">
        <v>128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83F6-588F-489F-8C38-95EDB863F2F7}">
  <dimension ref="A1:H144"/>
  <sheetViews>
    <sheetView workbookViewId="0">
      <selection activeCell="J24" sqref="J24"/>
    </sheetView>
  </sheetViews>
  <sheetFormatPr defaultRowHeight="15" x14ac:dyDescent="0.25"/>
  <cols>
    <col min="1" max="1" width="5.5703125" bestFit="1" customWidth="1"/>
    <col min="2" max="2" width="10" bestFit="1" customWidth="1"/>
    <col min="3" max="3" width="9.28515625" bestFit="1" customWidth="1"/>
    <col min="4" max="4" width="17.28515625" bestFit="1" customWidth="1"/>
    <col min="7" max="7" width="13.140625" bestFit="1" customWidth="1"/>
  </cols>
  <sheetData>
    <row r="1" spans="1:8" x14ac:dyDescent="0.25">
      <c r="A1" t="s">
        <v>4</v>
      </c>
      <c r="B1" t="s">
        <v>20</v>
      </c>
      <c r="C1" t="s">
        <v>25</v>
      </c>
      <c r="D1" t="s">
        <v>26</v>
      </c>
    </row>
    <row r="2" spans="1:8" x14ac:dyDescent="0.25">
      <c r="A2">
        <v>1170</v>
      </c>
      <c r="B2" s="4">
        <v>9</v>
      </c>
      <c r="C2" s="4">
        <f t="shared" ref="C2:C33" si="0">B2-$H$4</f>
        <v>-15.579999999999998</v>
      </c>
      <c r="D2" s="7">
        <f t="shared" ref="D2:D33" si="1">C2^2</f>
        <v>242.73639999999995</v>
      </c>
      <c r="G2" t="s">
        <v>23</v>
      </c>
      <c r="H2">
        <v>24</v>
      </c>
    </row>
    <row r="3" spans="1:8" x14ac:dyDescent="0.25">
      <c r="A3">
        <v>1137</v>
      </c>
      <c r="B3" s="4">
        <v>18</v>
      </c>
      <c r="C3" s="4">
        <f t="shared" si="0"/>
        <v>-6.5799999999999983</v>
      </c>
      <c r="D3" s="7">
        <f t="shared" si="1"/>
        <v>43.296399999999977</v>
      </c>
      <c r="G3" t="s">
        <v>22</v>
      </c>
      <c r="H3">
        <v>21</v>
      </c>
    </row>
    <row r="4" spans="1:8" x14ac:dyDescent="0.25">
      <c r="A4">
        <v>1140</v>
      </c>
      <c r="B4" s="4">
        <v>18</v>
      </c>
      <c r="C4" s="4">
        <f t="shared" si="0"/>
        <v>-6.5799999999999983</v>
      </c>
      <c r="D4" s="7">
        <f t="shared" si="1"/>
        <v>43.296399999999977</v>
      </c>
      <c r="G4" t="s">
        <v>21</v>
      </c>
      <c r="H4">
        <v>24.58</v>
      </c>
    </row>
    <row r="5" spans="1:8" x14ac:dyDescent="0.25">
      <c r="A5">
        <v>1141</v>
      </c>
      <c r="B5" s="4">
        <v>18</v>
      </c>
      <c r="C5" s="4">
        <f t="shared" si="0"/>
        <v>-6.5799999999999983</v>
      </c>
      <c r="D5" s="7">
        <f t="shared" si="1"/>
        <v>43.296399999999977</v>
      </c>
      <c r="G5" t="s">
        <v>24</v>
      </c>
      <c r="H5">
        <v>6.75</v>
      </c>
    </row>
    <row r="6" spans="1:8" x14ac:dyDescent="0.25">
      <c r="A6">
        <v>1145</v>
      </c>
      <c r="B6" s="4">
        <v>18</v>
      </c>
      <c r="C6" s="4">
        <f t="shared" si="0"/>
        <v>-6.5799999999999983</v>
      </c>
      <c r="D6" s="7">
        <f t="shared" si="1"/>
        <v>43.296399999999977</v>
      </c>
    </row>
    <row r="7" spans="1:8" x14ac:dyDescent="0.25">
      <c r="A7">
        <v>1081</v>
      </c>
      <c r="B7" s="4">
        <v>19</v>
      </c>
      <c r="C7" s="4">
        <f t="shared" si="0"/>
        <v>-5.5799999999999983</v>
      </c>
      <c r="D7" s="7">
        <f t="shared" si="1"/>
        <v>31.136399999999981</v>
      </c>
    </row>
    <row r="8" spans="1:8" x14ac:dyDescent="0.25">
      <c r="A8">
        <v>1093</v>
      </c>
      <c r="B8" s="4">
        <v>19</v>
      </c>
      <c r="C8" s="4">
        <f t="shared" si="0"/>
        <v>-5.5799999999999983</v>
      </c>
      <c r="D8" s="7">
        <f t="shared" si="1"/>
        <v>31.136399999999981</v>
      </c>
    </row>
    <row r="9" spans="1:8" x14ac:dyDescent="0.25">
      <c r="A9">
        <v>1126</v>
      </c>
      <c r="B9" s="4">
        <v>19</v>
      </c>
      <c r="C9" s="4">
        <f t="shared" si="0"/>
        <v>-5.5799999999999983</v>
      </c>
      <c r="D9" s="7">
        <f t="shared" si="1"/>
        <v>31.136399999999981</v>
      </c>
    </row>
    <row r="10" spans="1:8" x14ac:dyDescent="0.25">
      <c r="A10">
        <v>1138</v>
      </c>
      <c r="B10" s="4">
        <v>19</v>
      </c>
      <c r="C10" s="4">
        <f t="shared" si="0"/>
        <v>-5.5799999999999983</v>
      </c>
      <c r="D10" s="7">
        <f t="shared" si="1"/>
        <v>31.136399999999981</v>
      </c>
    </row>
    <row r="11" spans="1:8" x14ac:dyDescent="0.25">
      <c r="A11">
        <v>1180</v>
      </c>
      <c r="B11" s="4">
        <v>19</v>
      </c>
      <c r="C11" s="4">
        <f t="shared" si="0"/>
        <v>-5.5799999999999983</v>
      </c>
      <c r="D11" s="7">
        <f t="shared" si="1"/>
        <v>31.136399999999981</v>
      </c>
      <c r="G11">
        <v>9</v>
      </c>
      <c r="H11">
        <f>COUNTIF(B:B,G11)</f>
        <v>1</v>
      </c>
    </row>
    <row r="12" spans="1:8" x14ac:dyDescent="0.25">
      <c r="A12">
        <v>1064</v>
      </c>
      <c r="B12" s="4">
        <v>20</v>
      </c>
      <c r="C12" s="4">
        <f t="shared" si="0"/>
        <v>-4.5799999999999983</v>
      </c>
      <c r="D12" s="7">
        <f t="shared" si="1"/>
        <v>20.976399999999984</v>
      </c>
      <c r="G12">
        <v>18</v>
      </c>
      <c r="H12">
        <f t="shared" ref="H12:H31" si="2">COUNTIF(B:B,G12)</f>
        <v>4</v>
      </c>
    </row>
    <row r="13" spans="1:8" x14ac:dyDescent="0.25">
      <c r="A13">
        <v>1065</v>
      </c>
      <c r="B13" s="4">
        <v>20</v>
      </c>
      <c r="C13" s="4">
        <f t="shared" si="0"/>
        <v>-4.5799999999999983</v>
      </c>
      <c r="D13" s="7">
        <f t="shared" si="1"/>
        <v>20.976399999999984</v>
      </c>
      <c r="G13">
        <v>19</v>
      </c>
      <c r="H13">
        <f t="shared" si="2"/>
        <v>5</v>
      </c>
    </row>
    <row r="14" spans="1:8" x14ac:dyDescent="0.25">
      <c r="A14">
        <v>1067</v>
      </c>
      <c r="B14" s="4">
        <v>20</v>
      </c>
      <c r="C14" s="4">
        <f t="shared" si="0"/>
        <v>-4.5799999999999983</v>
      </c>
      <c r="D14" s="7">
        <f t="shared" si="1"/>
        <v>20.976399999999984</v>
      </c>
      <c r="G14">
        <v>20</v>
      </c>
      <c r="H14">
        <f t="shared" si="2"/>
        <v>10</v>
      </c>
    </row>
    <row r="15" spans="1:8" x14ac:dyDescent="0.25">
      <c r="A15">
        <v>1077</v>
      </c>
      <c r="B15" s="4">
        <v>20</v>
      </c>
      <c r="C15" s="4">
        <f t="shared" si="0"/>
        <v>-4.5799999999999983</v>
      </c>
      <c r="D15" s="7">
        <f t="shared" si="1"/>
        <v>20.976399999999984</v>
      </c>
      <c r="G15">
        <v>21</v>
      </c>
      <c r="H15">
        <f t="shared" si="2"/>
        <v>17</v>
      </c>
    </row>
    <row r="16" spans="1:8" x14ac:dyDescent="0.25">
      <c r="A16">
        <v>1118</v>
      </c>
      <c r="B16" s="4">
        <v>20</v>
      </c>
      <c r="C16" s="4">
        <f t="shared" si="0"/>
        <v>-4.5799999999999983</v>
      </c>
      <c r="D16" s="7">
        <f t="shared" si="1"/>
        <v>20.976399999999984</v>
      </c>
      <c r="G16">
        <v>22</v>
      </c>
      <c r="H16">
        <f t="shared" si="2"/>
        <v>12</v>
      </c>
    </row>
    <row r="17" spans="1:8" x14ac:dyDescent="0.25">
      <c r="A17">
        <v>1124</v>
      </c>
      <c r="B17" s="4">
        <v>20</v>
      </c>
      <c r="C17" s="4">
        <f t="shared" si="0"/>
        <v>-4.5799999999999983</v>
      </c>
      <c r="D17" s="7">
        <f t="shared" si="1"/>
        <v>20.976399999999984</v>
      </c>
      <c r="G17">
        <v>23</v>
      </c>
      <c r="H17">
        <f t="shared" si="2"/>
        <v>14</v>
      </c>
    </row>
    <row r="18" spans="1:8" x14ac:dyDescent="0.25">
      <c r="A18">
        <v>1136</v>
      </c>
      <c r="B18" s="4">
        <v>20</v>
      </c>
      <c r="C18" s="4">
        <f t="shared" si="0"/>
        <v>-4.5799999999999983</v>
      </c>
      <c r="D18" s="7">
        <f t="shared" si="1"/>
        <v>20.976399999999984</v>
      </c>
      <c r="G18">
        <v>24</v>
      </c>
      <c r="H18">
        <f t="shared" si="2"/>
        <v>14</v>
      </c>
    </row>
    <row r="19" spans="1:8" x14ac:dyDescent="0.25">
      <c r="A19">
        <v>1142</v>
      </c>
      <c r="B19" s="4">
        <v>20</v>
      </c>
      <c r="C19" s="4">
        <f t="shared" si="0"/>
        <v>-4.5799999999999983</v>
      </c>
      <c r="D19" s="7">
        <f t="shared" si="1"/>
        <v>20.976399999999984</v>
      </c>
      <c r="G19">
        <v>25</v>
      </c>
      <c r="H19">
        <f t="shared" si="2"/>
        <v>12</v>
      </c>
    </row>
    <row r="20" spans="1:8" x14ac:dyDescent="0.25">
      <c r="A20">
        <v>1144</v>
      </c>
      <c r="B20" s="4">
        <v>20</v>
      </c>
      <c r="C20" s="4">
        <f t="shared" si="0"/>
        <v>-4.5799999999999983</v>
      </c>
      <c r="D20" s="7">
        <f t="shared" si="1"/>
        <v>20.976399999999984</v>
      </c>
      <c r="G20">
        <v>26</v>
      </c>
      <c r="H20">
        <f t="shared" si="2"/>
        <v>10</v>
      </c>
    </row>
    <row r="21" spans="1:8" x14ac:dyDescent="0.25">
      <c r="A21">
        <v>1170</v>
      </c>
      <c r="B21" s="4">
        <v>20</v>
      </c>
      <c r="C21" s="4">
        <f t="shared" si="0"/>
        <v>-4.5799999999999983</v>
      </c>
      <c r="D21" s="7">
        <f t="shared" si="1"/>
        <v>20.976399999999984</v>
      </c>
      <c r="G21">
        <v>27</v>
      </c>
      <c r="H21">
        <f t="shared" si="2"/>
        <v>4</v>
      </c>
    </row>
    <row r="22" spans="1:8" x14ac:dyDescent="0.25">
      <c r="A22">
        <v>1057</v>
      </c>
      <c r="B22" s="4">
        <v>21</v>
      </c>
      <c r="C22" s="4">
        <f t="shared" si="0"/>
        <v>-3.5799999999999983</v>
      </c>
      <c r="D22" s="7">
        <f t="shared" si="1"/>
        <v>12.816399999999987</v>
      </c>
      <c r="G22">
        <v>28</v>
      </c>
      <c r="H22">
        <f t="shared" si="2"/>
        <v>5</v>
      </c>
    </row>
    <row r="23" spans="1:8" x14ac:dyDescent="0.25">
      <c r="A23">
        <v>1061</v>
      </c>
      <c r="B23" s="4">
        <v>21</v>
      </c>
      <c r="C23" s="4">
        <f t="shared" si="0"/>
        <v>-3.5799999999999983</v>
      </c>
      <c r="D23" s="7">
        <f t="shared" si="1"/>
        <v>12.816399999999987</v>
      </c>
      <c r="G23">
        <v>29</v>
      </c>
      <c r="H23">
        <f t="shared" si="2"/>
        <v>5</v>
      </c>
    </row>
    <row r="24" spans="1:8" x14ac:dyDescent="0.25">
      <c r="A24">
        <v>1072</v>
      </c>
      <c r="B24" s="4">
        <v>21</v>
      </c>
      <c r="C24" s="4">
        <f t="shared" si="0"/>
        <v>-3.5799999999999983</v>
      </c>
      <c r="D24" s="7">
        <f t="shared" si="1"/>
        <v>12.816399999999987</v>
      </c>
      <c r="G24">
        <v>30</v>
      </c>
      <c r="H24">
        <f t="shared" si="2"/>
        <v>3</v>
      </c>
    </row>
    <row r="25" spans="1:8" x14ac:dyDescent="0.25">
      <c r="A25">
        <v>1088</v>
      </c>
      <c r="B25" s="4">
        <v>21</v>
      </c>
      <c r="C25" s="4">
        <f t="shared" si="0"/>
        <v>-3.5799999999999983</v>
      </c>
      <c r="D25" s="7">
        <f t="shared" si="1"/>
        <v>12.816399999999987</v>
      </c>
      <c r="G25">
        <v>31</v>
      </c>
      <c r="H25">
        <f t="shared" si="2"/>
        <v>4</v>
      </c>
    </row>
    <row r="26" spans="1:8" x14ac:dyDescent="0.25">
      <c r="A26">
        <v>1089</v>
      </c>
      <c r="B26" s="4">
        <v>21</v>
      </c>
      <c r="C26" s="4">
        <f t="shared" si="0"/>
        <v>-3.5799999999999983</v>
      </c>
      <c r="D26" s="7">
        <f t="shared" si="1"/>
        <v>12.816399999999987</v>
      </c>
      <c r="G26">
        <v>32</v>
      </c>
      <c r="H26">
        <f t="shared" si="2"/>
        <v>3</v>
      </c>
    </row>
    <row r="27" spans="1:8" x14ac:dyDescent="0.25">
      <c r="A27">
        <v>1090</v>
      </c>
      <c r="B27" s="4">
        <v>21</v>
      </c>
      <c r="C27" s="4">
        <f t="shared" si="0"/>
        <v>-3.5799999999999983</v>
      </c>
      <c r="D27" s="7">
        <f t="shared" si="1"/>
        <v>12.816399999999987</v>
      </c>
      <c r="G27">
        <v>33</v>
      </c>
      <c r="H27">
        <f t="shared" si="2"/>
        <v>1</v>
      </c>
    </row>
    <row r="28" spans="1:8" x14ac:dyDescent="0.25">
      <c r="A28">
        <v>1097</v>
      </c>
      <c r="B28" s="4">
        <v>21</v>
      </c>
      <c r="C28" s="4">
        <f t="shared" si="0"/>
        <v>-3.5799999999999983</v>
      </c>
      <c r="D28" s="7">
        <f t="shared" si="1"/>
        <v>12.816399999999987</v>
      </c>
      <c r="G28">
        <v>34</v>
      </c>
      <c r="H28">
        <f t="shared" si="2"/>
        <v>1</v>
      </c>
    </row>
    <row r="29" spans="1:8" x14ac:dyDescent="0.25">
      <c r="A29">
        <v>1102</v>
      </c>
      <c r="B29" s="4">
        <v>21</v>
      </c>
      <c r="C29" s="4">
        <f t="shared" si="0"/>
        <v>-3.5799999999999983</v>
      </c>
      <c r="D29" s="7">
        <f t="shared" si="1"/>
        <v>12.816399999999987</v>
      </c>
      <c r="G29">
        <v>36</v>
      </c>
      <c r="H29">
        <f t="shared" si="2"/>
        <v>1</v>
      </c>
    </row>
    <row r="30" spans="1:8" x14ac:dyDescent="0.25">
      <c r="A30">
        <v>1114</v>
      </c>
      <c r="B30" s="4">
        <v>21</v>
      </c>
      <c r="C30" s="4">
        <f t="shared" si="0"/>
        <v>-3.5799999999999983</v>
      </c>
      <c r="D30" s="7">
        <f t="shared" si="1"/>
        <v>12.816399999999987</v>
      </c>
      <c r="G30">
        <v>41</v>
      </c>
      <c r="H30">
        <f t="shared" si="2"/>
        <v>1</v>
      </c>
    </row>
    <row r="31" spans="1:8" x14ac:dyDescent="0.25">
      <c r="A31">
        <v>1127</v>
      </c>
      <c r="B31" s="4">
        <v>21</v>
      </c>
      <c r="C31" s="4">
        <f t="shared" si="0"/>
        <v>-3.5799999999999983</v>
      </c>
      <c r="D31" s="7">
        <f t="shared" si="1"/>
        <v>12.816399999999987</v>
      </c>
      <c r="G31">
        <v>84</v>
      </c>
      <c r="H31">
        <f t="shared" si="2"/>
        <v>1</v>
      </c>
    </row>
    <row r="32" spans="1:8" x14ac:dyDescent="0.25">
      <c r="A32">
        <v>1128</v>
      </c>
      <c r="B32" s="4">
        <v>21</v>
      </c>
      <c r="C32" s="4">
        <f t="shared" si="0"/>
        <v>-3.5799999999999983</v>
      </c>
      <c r="D32" s="7">
        <f t="shared" si="1"/>
        <v>12.816399999999987</v>
      </c>
    </row>
    <row r="33" spans="1:4" x14ac:dyDescent="0.25">
      <c r="A33">
        <v>1129</v>
      </c>
      <c r="B33" s="4">
        <v>21</v>
      </c>
      <c r="C33" s="4">
        <f t="shared" si="0"/>
        <v>-3.5799999999999983</v>
      </c>
      <c r="D33" s="7">
        <f t="shared" si="1"/>
        <v>12.816399999999987</v>
      </c>
    </row>
    <row r="34" spans="1:4" x14ac:dyDescent="0.25">
      <c r="A34">
        <v>1130</v>
      </c>
      <c r="B34" s="4">
        <v>21</v>
      </c>
      <c r="C34" s="4">
        <f t="shared" ref="C34:C65" si="3">B34-$H$4</f>
        <v>-3.5799999999999983</v>
      </c>
      <c r="D34" s="7">
        <f t="shared" ref="D34:D65" si="4">C34^2</f>
        <v>12.816399999999987</v>
      </c>
    </row>
    <row r="35" spans="1:4" x14ac:dyDescent="0.25">
      <c r="A35">
        <v>1132</v>
      </c>
      <c r="B35" s="4">
        <v>21</v>
      </c>
      <c r="C35" s="4">
        <f t="shared" si="3"/>
        <v>-3.5799999999999983</v>
      </c>
      <c r="D35" s="7">
        <f t="shared" si="4"/>
        <v>12.816399999999987</v>
      </c>
    </row>
    <row r="36" spans="1:4" x14ac:dyDescent="0.25">
      <c r="A36">
        <v>1139</v>
      </c>
      <c r="B36" s="4">
        <v>21</v>
      </c>
      <c r="C36" s="4">
        <f t="shared" si="3"/>
        <v>-3.5799999999999983</v>
      </c>
      <c r="D36" s="7">
        <f t="shared" si="4"/>
        <v>12.816399999999987</v>
      </c>
    </row>
    <row r="37" spans="1:4" x14ac:dyDescent="0.25">
      <c r="A37">
        <v>1146</v>
      </c>
      <c r="B37" s="4">
        <v>21</v>
      </c>
      <c r="C37" s="4">
        <f t="shared" si="3"/>
        <v>-3.5799999999999983</v>
      </c>
      <c r="D37" s="7">
        <f t="shared" si="4"/>
        <v>12.816399999999987</v>
      </c>
    </row>
    <row r="38" spans="1:4" x14ac:dyDescent="0.25">
      <c r="A38">
        <v>1148</v>
      </c>
      <c r="B38" s="4">
        <v>21</v>
      </c>
      <c r="C38" s="4">
        <f t="shared" si="3"/>
        <v>-3.5799999999999983</v>
      </c>
      <c r="D38" s="7">
        <f t="shared" si="4"/>
        <v>12.816399999999987</v>
      </c>
    </row>
    <row r="39" spans="1:4" x14ac:dyDescent="0.25">
      <c r="A39">
        <v>1069</v>
      </c>
      <c r="B39" s="4">
        <v>22</v>
      </c>
      <c r="C39" s="4">
        <f t="shared" si="3"/>
        <v>-2.5799999999999983</v>
      </c>
      <c r="D39" s="7">
        <f t="shared" si="4"/>
        <v>6.6563999999999908</v>
      </c>
    </row>
    <row r="40" spans="1:4" x14ac:dyDescent="0.25">
      <c r="A40">
        <v>1075</v>
      </c>
      <c r="B40" s="4">
        <v>22</v>
      </c>
      <c r="C40" s="4">
        <f t="shared" si="3"/>
        <v>-2.5799999999999983</v>
      </c>
      <c r="D40" s="7">
        <f t="shared" si="4"/>
        <v>6.6563999999999908</v>
      </c>
    </row>
    <row r="41" spans="1:4" x14ac:dyDescent="0.25">
      <c r="A41">
        <v>1094</v>
      </c>
      <c r="B41" s="4">
        <v>22</v>
      </c>
      <c r="C41" s="4">
        <f t="shared" si="3"/>
        <v>-2.5799999999999983</v>
      </c>
      <c r="D41" s="7">
        <f t="shared" si="4"/>
        <v>6.6563999999999908</v>
      </c>
    </row>
    <row r="42" spans="1:4" x14ac:dyDescent="0.25">
      <c r="A42">
        <v>1103</v>
      </c>
      <c r="B42" s="4">
        <v>22</v>
      </c>
      <c r="C42" s="4">
        <f t="shared" si="3"/>
        <v>-2.5799999999999983</v>
      </c>
      <c r="D42" s="7">
        <f t="shared" si="4"/>
        <v>6.6563999999999908</v>
      </c>
    </row>
    <row r="43" spans="1:4" x14ac:dyDescent="0.25">
      <c r="A43">
        <v>1109</v>
      </c>
      <c r="B43" s="4">
        <v>22</v>
      </c>
      <c r="C43" s="4">
        <f t="shared" si="3"/>
        <v>-2.5799999999999983</v>
      </c>
      <c r="D43" s="7">
        <f t="shared" si="4"/>
        <v>6.6563999999999908</v>
      </c>
    </row>
    <row r="44" spans="1:4" x14ac:dyDescent="0.25">
      <c r="A44">
        <v>1112</v>
      </c>
      <c r="B44" s="4">
        <v>22</v>
      </c>
      <c r="C44" s="4">
        <f t="shared" si="3"/>
        <v>-2.5799999999999983</v>
      </c>
      <c r="D44" s="7">
        <f t="shared" si="4"/>
        <v>6.6563999999999908</v>
      </c>
    </row>
    <row r="45" spans="1:4" x14ac:dyDescent="0.25">
      <c r="A45">
        <v>1113</v>
      </c>
      <c r="B45" s="4">
        <v>22</v>
      </c>
      <c r="C45" s="4">
        <f t="shared" si="3"/>
        <v>-2.5799999999999983</v>
      </c>
      <c r="D45" s="7">
        <f t="shared" si="4"/>
        <v>6.6563999999999908</v>
      </c>
    </row>
    <row r="46" spans="1:4" x14ac:dyDescent="0.25">
      <c r="A46">
        <v>1122</v>
      </c>
      <c r="B46" s="4">
        <v>22</v>
      </c>
      <c r="C46" s="4">
        <f t="shared" si="3"/>
        <v>-2.5799999999999983</v>
      </c>
      <c r="D46" s="7">
        <f t="shared" si="4"/>
        <v>6.6563999999999908</v>
      </c>
    </row>
    <row r="47" spans="1:4" x14ac:dyDescent="0.25">
      <c r="A47">
        <v>1134</v>
      </c>
      <c r="B47" s="4">
        <v>22</v>
      </c>
      <c r="C47" s="4">
        <f t="shared" si="3"/>
        <v>-2.5799999999999983</v>
      </c>
      <c r="D47" s="7">
        <f t="shared" si="4"/>
        <v>6.6563999999999908</v>
      </c>
    </row>
    <row r="48" spans="1:4" x14ac:dyDescent="0.25">
      <c r="A48">
        <v>1143</v>
      </c>
      <c r="B48" s="4">
        <v>22</v>
      </c>
      <c r="C48" s="4">
        <f t="shared" si="3"/>
        <v>-2.5799999999999983</v>
      </c>
      <c r="D48" s="7">
        <f t="shared" si="4"/>
        <v>6.6563999999999908</v>
      </c>
    </row>
    <row r="49" spans="1:4" x14ac:dyDescent="0.25">
      <c r="A49">
        <v>1166</v>
      </c>
      <c r="B49" s="4">
        <v>22</v>
      </c>
      <c r="C49" s="4">
        <f t="shared" si="3"/>
        <v>-2.5799999999999983</v>
      </c>
      <c r="D49" s="7">
        <f t="shared" si="4"/>
        <v>6.6563999999999908</v>
      </c>
    </row>
    <row r="50" spans="1:4" x14ac:dyDescent="0.25">
      <c r="A50">
        <v>1175</v>
      </c>
      <c r="B50" s="4">
        <v>22</v>
      </c>
      <c r="C50" s="4">
        <f t="shared" si="3"/>
        <v>-2.5799999999999983</v>
      </c>
      <c r="D50" s="7">
        <f t="shared" si="4"/>
        <v>6.6563999999999908</v>
      </c>
    </row>
    <row r="51" spans="1:4" x14ac:dyDescent="0.25">
      <c r="A51">
        <v>1066</v>
      </c>
      <c r="B51" s="4">
        <v>23</v>
      </c>
      <c r="C51" s="4">
        <f t="shared" si="3"/>
        <v>-1.5799999999999983</v>
      </c>
      <c r="D51" s="7">
        <f t="shared" si="4"/>
        <v>2.4963999999999946</v>
      </c>
    </row>
    <row r="52" spans="1:4" x14ac:dyDescent="0.25">
      <c r="A52">
        <v>1080</v>
      </c>
      <c r="B52" s="4">
        <v>23</v>
      </c>
      <c r="C52" s="4">
        <f t="shared" si="3"/>
        <v>-1.5799999999999983</v>
      </c>
      <c r="D52" s="7">
        <f t="shared" si="4"/>
        <v>2.4963999999999946</v>
      </c>
    </row>
    <row r="53" spans="1:4" x14ac:dyDescent="0.25">
      <c r="A53">
        <v>1092</v>
      </c>
      <c r="B53" s="4">
        <v>23</v>
      </c>
      <c r="C53" s="4">
        <f t="shared" si="3"/>
        <v>-1.5799999999999983</v>
      </c>
      <c r="D53" s="7">
        <f t="shared" si="4"/>
        <v>2.4963999999999946</v>
      </c>
    </row>
    <row r="54" spans="1:4" x14ac:dyDescent="0.25">
      <c r="A54">
        <v>1095</v>
      </c>
      <c r="B54" s="4">
        <v>23</v>
      </c>
      <c r="C54" s="4">
        <f t="shared" si="3"/>
        <v>-1.5799999999999983</v>
      </c>
      <c r="D54" s="7">
        <f t="shared" si="4"/>
        <v>2.4963999999999946</v>
      </c>
    </row>
    <row r="55" spans="1:4" x14ac:dyDescent="0.25">
      <c r="A55">
        <v>1096</v>
      </c>
      <c r="B55" s="4">
        <v>23</v>
      </c>
      <c r="C55" s="4">
        <f t="shared" si="3"/>
        <v>-1.5799999999999983</v>
      </c>
      <c r="D55" s="7">
        <f t="shared" si="4"/>
        <v>2.4963999999999946</v>
      </c>
    </row>
    <row r="56" spans="1:4" x14ac:dyDescent="0.25">
      <c r="A56">
        <v>1098</v>
      </c>
      <c r="B56" s="4">
        <v>23</v>
      </c>
      <c r="C56" s="4">
        <f t="shared" si="3"/>
        <v>-1.5799999999999983</v>
      </c>
      <c r="D56" s="7">
        <f t="shared" si="4"/>
        <v>2.4963999999999946</v>
      </c>
    </row>
    <row r="57" spans="1:4" x14ac:dyDescent="0.25">
      <c r="A57">
        <v>1120</v>
      </c>
      <c r="B57" s="4">
        <v>23</v>
      </c>
      <c r="C57" s="4">
        <f t="shared" si="3"/>
        <v>-1.5799999999999983</v>
      </c>
      <c r="D57" s="7">
        <f t="shared" si="4"/>
        <v>2.4963999999999946</v>
      </c>
    </row>
    <row r="58" spans="1:4" x14ac:dyDescent="0.25">
      <c r="A58">
        <v>1121</v>
      </c>
      <c r="B58" s="4">
        <v>23</v>
      </c>
      <c r="C58" s="4">
        <f t="shared" si="3"/>
        <v>-1.5799999999999983</v>
      </c>
      <c r="D58" s="7">
        <f t="shared" si="4"/>
        <v>2.4963999999999946</v>
      </c>
    </row>
    <row r="59" spans="1:4" x14ac:dyDescent="0.25">
      <c r="A59">
        <v>1135</v>
      </c>
      <c r="B59" s="4">
        <v>23</v>
      </c>
      <c r="C59" s="4">
        <f t="shared" si="3"/>
        <v>-1.5799999999999983</v>
      </c>
      <c r="D59" s="7">
        <f t="shared" si="4"/>
        <v>2.4963999999999946</v>
      </c>
    </row>
    <row r="60" spans="1:4" x14ac:dyDescent="0.25">
      <c r="A60">
        <v>1156</v>
      </c>
      <c r="B60" s="4">
        <v>23</v>
      </c>
      <c r="C60" s="4">
        <f t="shared" si="3"/>
        <v>-1.5799999999999983</v>
      </c>
      <c r="D60" s="7">
        <f t="shared" si="4"/>
        <v>2.4963999999999946</v>
      </c>
    </row>
    <row r="61" spans="1:4" x14ac:dyDescent="0.25">
      <c r="A61">
        <v>1164</v>
      </c>
      <c r="B61" s="4">
        <v>23</v>
      </c>
      <c r="C61" s="4">
        <f t="shared" si="3"/>
        <v>-1.5799999999999983</v>
      </c>
      <c r="D61" s="7">
        <f t="shared" si="4"/>
        <v>2.4963999999999946</v>
      </c>
    </row>
    <row r="62" spans="1:4" x14ac:dyDescent="0.25">
      <c r="A62">
        <v>1165</v>
      </c>
      <c r="B62" s="4">
        <v>23</v>
      </c>
      <c r="C62" s="4">
        <f t="shared" si="3"/>
        <v>-1.5799999999999983</v>
      </c>
      <c r="D62" s="7">
        <f t="shared" si="4"/>
        <v>2.4963999999999946</v>
      </c>
    </row>
    <row r="63" spans="1:4" x14ac:dyDescent="0.25">
      <c r="A63">
        <v>1173</v>
      </c>
      <c r="B63" s="4">
        <v>23</v>
      </c>
      <c r="C63" s="4">
        <f t="shared" si="3"/>
        <v>-1.5799999999999983</v>
      </c>
      <c r="D63" s="7">
        <f t="shared" si="4"/>
        <v>2.4963999999999946</v>
      </c>
    </row>
    <row r="64" spans="1:4" x14ac:dyDescent="0.25">
      <c r="A64">
        <v>1176</v>
      </c>
      <c r="B64" s="4">
        <v>23</v>
      </c>
      <c r="C64" s="4">
        <f t="shared" si="3"/>
        <v>-1.5799999999999983</v>
      </c>
      <c r="D64" s="7">
        <f t="shared" si="4"/>
        <v>2.4963999999999946</v>
      </c>
    </row>
    <row r="65" spans="1:4" x14ac:dyDescent="0.25">
      <c r="A65">
        <v>1059</v>
      </c>
      <c r="B65" s="4">
        <v>24</v>
      </c>
      <c r="C65" s="4">
        <f t="shared" si="3"/>
        <v>-0.57999999999999829</v>
      </c>
      <c r="D65" s="7">
        <f t="shared" si="4"/>
        <v>0.33639999999999803</v>
      </c>
    </row>
    <row r="66" spans="1:4" x14ac:dyDescent="0.25">
      <c r="A66">
        <v>1083</v>
      </c>
      <c r="B66" s="4">
        <v>24</v>
      </c>
      <c r="C66" s="4">
        <f t="shared" ref="C66:C97" si="5">B66-$H$4</f>
        <v>-0.57999999999999829</v>
      </c>
      <c r="D66" s="7">
        <f t="shared" ref="D66:D97" si="6">C66^2</f>
        <v>0.33639999999999803</v>
      </c>
    </row>
    <row r="67" spans="1:4" x14ac:dyDescent="0.25">
      <c r="A67">
        <v>1086</v>
      </c>
      <c r="B67" s="4">
        <v>24</v>
      </c>
      <c r="C67" s="4">
        <f t="shared" si="5"/>
        <v>-0.57999999999999829</v>
      </c>
      <c r="D67" s="7">
        <f t="shared" si="6"/>
        <v>0.33639999999999803</v>
      </c>
    </row>
    <row r="68" spans="1:4" x14ac:dyDescent="0.25">
      <c r="A68">
        <v>1087</v>
      </c>
      <c r="B68" s="4">
        <v>24</v>
      </c>
      <c r="C68" s="4">
        <f t="shared" si="5"/>
        <v>-0.57999999999999829</v>
      </c>
      <c r="D68" s="7">
        <f t="shared" si="6"/>
        <v>0.33639999999999803</v>
      </c>
    </row>
    <row r="69" spans="1:4" x14ac:dyDescent="0.25">
      <c r="A69">
        <v>1099</v>
      </c>
      <c r="B69" s="4">
        <v>24</v>
      </c>
      <c r="C69" s="4">
        <f t="shared" si="5"/>
        <v>-0.57999999999999829</v>
      </c>
      <c r="D69" s="7">
        <f t="shared" si="6"/>
        <v>0.33639999999999803</v>
      </c>
    </row>
    <row r="70" spans="1:4" x14ac:dyDescent="0.25">
      <c r="A70">
        <v>1105</v>
      </c>
      <c r="B70" s="4">
        <v>24</v>
      </c>
      <c r="C70" s="4">
        <f t="shared" si="5"/>
        <v>-0.57999999999999829</v>
      </c>
      <c r="D70" s="7">
        <f t="shared" si="6"/>
        <v>0.33639999999999803</v>
      </c>
    </row>
    <row r="71" spans="1:4" x14ac:dyDescent="0.25">
      <c r="A71">
        <v>1106</v>
      </c>
      <c r="B71" s="4">
        <v>24</v>
      </c>
      <c r="C71" s="4">
        <f t="shared" si="5"/>
        <v>-0.57999999999999829</v>
      </c>
      <c r="D71" s="7">
        <f t="shared" si="6"/>
        <v>0.33639999999999803</v>
      </c>
    </row>
    <row r="72" spans="1:4" x14ac:dyDescent="0.25">
      <c r="A72">
        <v>1115</v>
      </c>
      <c r="B72" s="4">
        <v>24</v>
      </c>
      <c r="C72" s="4">
        <f t="shared" si="5"/>
        <v>-0.57999999999999829</v>
      </c>
      <c r="D72" s="7">
        <f t="shared" si="6"/>
        <v>0.33639999999999803</v>
      </c>
    </row>
    <row r="73" spans="1:4" x14ac:dyDescent="0.25">
      <c r="A73">
        <v>1117</v>
      </c>
      <c r="B73" s="4">
        <v>24</v>
      </c>
      <c r="C73" s="4">
        <f t="shared" si="5"/>
        <v>-0.57999999999999829</v>
      </c>
      <c r="D73" s="7">
        <f t="shared" si="6"/>
        <v>0.33639999999999803</v>
      </c>
    </row>
    <row r="74" spans="1:4" x14ac:dyDescent="0.25">
      <c r="A74">
        <v>1119</v>
      </c>
      <c r="B74" s="4">
        <v>24</v>
      </c>
      <c r="C74" s="4">
        <f t="shared" si="5"/>
        <v>-0.57999999999999829</v>
      </c>
      <c r="D74" s="7">
        <f t="shared" si="6"/>
        <v>0.33639999999999803</v>
      </c>
    </row>
    <row r="75" spans="1:4" x14ac:dyDescent="0.25">
      <c r="A75">
        <v>1131</v>
      </c>
      <c r="B75" s="4">
        <v>24</v>
      </c>
      <c r="C75" s="4">
        <f t="shared" si="5"/>
        <v>-0.57999999999999829</v>
      </c>
      <c r="D75" s="7">
        <f t="shared" si="6"/>
        <v>0.33639999999999803</v>
      </c>
    </row>
    <row r="76" spans="1:4" x14ac:dyDescent="0.25">
      <c r="A76">
        <v>1147</v>
      </c>
      <c r="B76" s="4">
        <v>24</v>
      </c>
      <c r="C76" s="4">
        <f t="shared" si="5"/>
        <v>-0.57999999999999829</v>
      </c>
      <c r="D76" s="7">
        <f t="shared" si="6"/>
        <v>0.33639999999999803</v>
      </c>
    </row>
    <row r="77" spans="1:4" x14ac:dyDescent="0.25">
      <c r="A77">
        <v>1169</v>
      </c>
      <c r="B77" s="4">
        <v>24</v>
      </c>
      <c r="C77" s="4">
        <f t="shared" si="5"/>
        <v>-0.57999999999999829</v>
      </c>
      <c r="D77" s="7">
        <f t="shared" si="6"/>
        <v>0.33639999999999803</v>
      </c>
    </row>
    <row r="78" spans="1:4" x14ac:dyDescent="0.25">
      <c r="A78">
        <v>1179</v>
      </c>
      <c r="B78" s="4">
        <v>24</v>
      </c>
      <c r="C78" s="4">
        <f t="shared" si="5"/>
        <v>-0.57999999999999829</v>
      </c>
      <c r="D78" s="7">
        <f t="shared" si="6"/>
        <v>0.33639999999999803</v>
      </c>
    </row>
    <row r="79" spans="1:4" x14ac:dyDescent="0.25">
      <c r="A79">
        <v>1063</v>
      </c>
      <c r="B79" s="4">
        <v>25</v>
      </c>
      <c r="C79" s="4">
        <f t="shared" si="5"/>
        <v>0.42000000000000171</v>
      </c>
      <c r="D79" s="7">
        <f t="shared" si="6"/>
        <v>0.17640000000000144</v>
      </c>
    </row>
    <row r="80" spans="1:4" x14ac:dyDescent="0.25">
      <c r="A80">
        <v>1071</v>
      </c>
      <c r="B80" s="4">
        <v>25</v>
      </c>
      <c r="C80" s="4">
        <f t="shared" si="5"/>
        <v>0.42000000000000171</v>
      </c>
      <c r="D80" s="7">
        <f t="shared" si="6"/>
        <v>0.17640000000000144</v>
      </c>
    </row>
    <row r="81" spans="1:4" x14ac:dyDescent="0.25">
      <c r="A81">
        <v>1076</v>
      </c>
      <c r="B81" s="4">
        <v>25</v>
      </c>
      <c r="C81" s="4">
        <f t="shared" si="5"/>
        <v>0.42000000000000171</v>
      </c>
      <c r="D81" s="7">
        <f t="shared" si="6"/>
        <v>0.17640000000000144</v>
      </c>
    </row>
    <row r="82" spans="1:4" x14ac:dyDescent="0.25">
      <c r="A82">
        <v>1082</v>
      </c>
      <c r="B82" s="4">
        <v>25</v>
      </c>
      <c r="C82" s="4">
        <f t="shared" si="5"/>
        <v>0.42000000000000171</v>
      </c>
      <c r="D82" s="7">
        <f t="shared" si="6"/>
        <v>0.17640000000000144</v>
      </c>
    </row>
    <row r="83" spans="1:4" x14ac:dyDescent="0.25">
      <c r="A83">
        <v>1085</v>
      </c>
      <c r="B83" s="4">
        <v>25</v>
      </c>
      <c r="C83" s="4">
        <f t="shared" si="5"/>
        <v>0.42000000000000171</v>
      </c>
      <c r="D83" s="7">
        <f t="shared" si="6"/>
        <v>0.17640000000000144</v>
      </c>
    </row>
    <row r="84" spans="1:4" x14ac:dyDescent="0.25">
      <c r="A84">
        <v>1101</v>
      </c>
      <c r="B84" s="4">
        <v>25</v>
      </c>
      <c r="C84" s="4">
        <f t="shared" si="5"/>
        <v>0.42000000000000171</v>
      </c>
      <c r="D84" s="7">
        <f t="shared" si="6"/>
        <v>0.17640000000000144</v>
      </c>
    </row>
    <row r="85" spans="1:4" x14ac:dyDescent="0.25">
      <c r="A85">
        <v>1108</v>
      </c>
      <c r="B85" s="4">
        <v>25</v>
      </c>
      <c r="C85" s="4">
        <f t="shared" si="5"/>
        <v>0.42000000000000171</v>
      </c>
      <c r="D85" s="7">
        <f t="shared" si="6"/>
        <v>0.17640000000000144</v>
      </c>
    </row>
    <row r="86" spans="1:4" x14ac:dyDescent="0.25">
      <c r="A86">
        <v>1110</v>
      </c>
      <c r="B86" s="4">
        <v>25</v>
      </c>
      <c r="C86" s="4">
        <f t="shared" si="5"/>
        <v>0.42000000000000171</v>
      </c>
      <c r="D86" s="7">
        <f t="shared" si="6"/>
        <v>0.17640000000000144</v>
      </c>
    </row>
    <row r="87" spans="1:4" x14ac:dyDescent="0.25">
      <c r="A87">
        <v>1123</v>
      </c>
      <c r="B87" s="4">
        <v>25</v>
      </c>
      <c r="C87" s="4">
        <f t="shared" si="5"/>
        <v>0.42000000000000171</v>
      </c>
      <c r="D87" s="7">
        <f t="shared" si="6"/>
        <v>0.17640000000000144</v>
      </c>
    </row>
    <row r="88" spans="1:4" x14ac:dyDescent="0.25">
      <c r="A88">
        <v>1133</v>
      </c>
      <c r="B88" s="4">
        <v>25</v>
      </c>
      <c r="C88" s="4">
        <f t="shared" si="5"/>
        <v>0.42000000000000171</v>
      </c>
      <c r="D88" s="7">
        <f t="shared" si="6"/>
        <v>0.17640000000000144</v>
      </c>
    </row>
    <row r="89" spans="1:4" x14ac:dyDescent="0.25">
      <c r="A89">
        <v>1149</v>
      </c>
      <c r="B89" s="4">
        <v>25</v>
      </c>
      <c r="C89" s="4">
        <f t="shared" si="5"/>
        <v>0.42000000000000171</v>
      </c>
      <c r="D89" s="7">
        <f t="shared" si="6"/>
        <v>0.17640000000000144</v>
      </c>
    </row>
    <row r="90" spans="1:4" x14ac:dyDescent="0.25">
      <c r="A90">
        <v>1152</v>
      </c>
      <c r="B90" s="4">
        <v>25</v>
      </c>
      <c r="C90" s="4">
        <f t="shared" si="5"/>
        <v>0.42000000000000171</v>
      </c>
      <c r="D90" s="7">
        <f t="shared" si="6"/>
        <v>0.17640000000000144</v>
      </c>
    </row>
    <row r="91" spans="1:4" x14ac:dyDescent="0.25">
      <c r="A91">
        <v>1058</v>
      </c>
      <c r="B91" s="4">
        <v>26</v>
      </c>
      <c r="C91" s="4">
        <f t="shared" si="5"/>
        <v>1.4200000000000017</v>
      </c>
      <c r="D91" s="7">
        <f t="shared" si="6"/>
        <v>2.0164000000000049</v>
      </c>
    </row>
    <row r="92" spans="1:4" x14ac:dyDescent="0.25">
      <c r="A92">
        <v>1074</v>
      </c>
      <c r="B92" s="4">
        <v>26</v>
      </c>
      <c r="C92" s="4">
        <f t="shared" si="5"/>
        <v>1.4200000000000017</v>
      </c>
      <c r="D92" s="7">
        <f t="shared" si="6"/>
        <v>2.0164000000000049</v>
      </c>
    </row>
    <row r="93" spans="1:4" x14ac:dyDescent="0.25">
      <c r="A93">
        <v>1079</v>
      </c>
      <c r="B93" s="4">
        <v>26</v>
      </c>
      <c r="C93" s="4">
        <f t="shared" si="5"/>
        <v>1.4200000000000017</v>
      </c>
      <c r="D93" s="7">
        <f t="shared" si="6"/>
        <v>2.0164000000000049</v>
      </c>
    </row>
    <row r="94" spans="1:4" x14ac:dyDescent="0.25">
      <c r="A94">
        <v>1107</v>
      </c>
      <c r="B94" s="4">
        <v>26</v>
      </c>
      <c r="C94" s="4">
        <f t="shared" si="5"/>
        <v>1.4200000000000017</v>
      </c>
      <c r="D94" s="7">
        <f t="shared" si="6"/>
        <v>2.0164000000000049</v>
      </c>
    </row>
    <row r="95" spans="1:4" x14ac:dyDescent="0.25">
      <c r="A95">
        <v>1111</v>
      </c>
      <c r="B95" s="4">
        <v>26</v>
      </c>
      <c r="C95" s="4">
        <f t="shared" si="5"/>
        <v>1.4200000000000017</v>
      </c>
      <c r="D95" s="7">
        <f t="shared" si="6"/>
        <v>2.0164000000000049</v>
      </c>
    </row>
    <row r="96" spans="1:4" x14ac:dyDescent="0.25">
      <c r="A96">
        <v>1125</v>
      </c>
      <c r="B96" s="4">
        <v>26</v>
      </c>
      <c r="C96" s="4">
        <f t="shared" si="5"/>
        <v>1.4200000000000017</v>
      </c>
      <c r="D96" s="7">
        <f t="shared" si="6"/>
        <v>2.0164000000000049</v>
      </c>
    </row>
    <row r="97" spans="1:4" x14ac:dyDescent="0.25">
      <c r="A97">
        <v>1151</v>
      </c>
      <c r="B97" s="4">
        <v>26</v>
      </c>
      <c r="C97" s="4">
        <f t="shared" si="5"/>
        <v>1.4200000000000017</v>
      </c>
      <c r="D97" s="7">
        <f t="shared" si="6"/>
        <v>2.0164000000000049</v>
      </c>
    </row>
    <row r="98" spans="1:4" x14ac:dyDescent="0.25">
      <c r="A98">
        <v>1157</v>
      </c>
      <c r="B98" s="4">
        <v>26</v>
      </c>
      <c r="C98" s="4">
        <f t="shared" ref="C98:C129" si="7">B98-$H$4</f>
        <v>1.4200000000000017</v>
      </c>
      <c r="D98" s="7">
        <f t="shared" ref="D98:D129" si="8">C98^2</f>
        <v>2.0164000000000049</v>
      </c>
    </row>
    <row r="99" spans="1:4" x14ac:dyDescent="0.25">
      <c r="A99">
        <v>1174</v>
      </c>
      <c r="B99" s="4">
        <v>26</v>
      </c>
      <c r="C99" s="4">
        <f t="shared" si="7"/>
        <v>1.4200000000000017</v>
      </c>
      <c r="D99" s="7">
        <f t="shared" si="8"/>
        <v>2.0164000000000049</v>
      </c>
    </row>
    <row r="100" spans="1:4" x14ac:dyDescent="0.25">
      <c r="A100">
        <v>1182</v>
      </c>
      <c r="B100" s="4">
        <v>26</v>
      </c>
      <c r="C100" s="4">
        <f t="shared" si="7"/>
        <v>1.4200000000000017</v>
      </c>
      <c r="D100" s="7">
        <f t="shared" si="8"/>
        <v>2.0164000000000049</v>
      </c>
    </row>
    <row r="101" spans="1:4" x14ac:dyDescent="0.25">
      <c r="A101">
        <v>1068</v>
      </c>
      <c r="B101" s="4">
        <v>27</v>
      </c>
      <c r="C101" s="4">
        <f t="shared" si="7"/>
        <v>2.4200000000000017</v>
      </c>
      <c r="D101" s="7">
        <f t="shared" si="8"/>
        <v>5.8564000000000078</v>
      </c>
    </row>
    <row r="102" spans="1:4" x14ac:dyDescent="0.25">
      <c r="A102">
        <v>1155</v>
      </c>
      <c r="B102" s="4">
        <v>27</v>
      </c>
      <c r="C102" s="4">
        <f t="shared" si="7"/>
        <v>2.4200000000000017</v>
      </c>
      <c r="D102" s="7">
        <f t="shared" si="8"/>
        <v>5.8564000000000078</v>
      </c>
    </row>
    <row r="103" spans="1:4" x14ac:dyDescent="0.25">
      <c r="A103">
        <v>1159</v>
      </c>
      <c r="B103" s="4">
        <v>27</v>
      </c>
      <c r="C103" s="4">
        <f t="shared" si="7"/>
        <v>2.4200000000000017</v>
      </c>
      <c r="D103" s="7">
        <f t="shared" si="8"/>
        <v>5.8564000000000078</v>
      </c>
    </row>
    <row r="104" spans="1:4" x14ac:dyDescent="0.25">
      <c r="A104">
        <v>1167</v>
      </c>
      <c r="B104" s="4">
        <v>27</v>
      </c>
      <c r="C104" s="4">
        <f t="shared" si="7"/>
        <v>2.4200000000000017</v>
      </c>
      <c r="D104" s="7">
        <f t="shared" si="8"/>
        <v>5.8564000000000078</v>
      </c>
    </row>
    <row r="105" spans="1:4" x14ac:dyDescent="0.25">
      <c r="A105">
        <v>1154</v>
      </c>
      <c r="B105" s="4">
        <v>28</v>
      </c>
      <c r="C105" s="4">
        <f t="shared" si="7"/>
        <v>3.4200000000000017</v>
      </c>
      <c r="D105" s="7">
        <f t="shared" si="8"/>
        <v>11.696400000000011</v>
      </c>
    </row>
    <row r="106" spans="1:4" x14ac:dyDescent="0.25">
      <c r="A106">
        <v>1158</v>
      </c>
      <c r="B106" s="4">
        <v>28</v>
      </c>
      <c r="C106" s="4">
        <f t="shared" si="7"/>
        <v>3.4200000000000017</v>
      </c>
      <c r="D106" s="7">
        <f t="shared" si="8"/>
        <v>11.696400000000011</v>
      </c>
    </row>
    <row r="107" spans="1:4" x14ac:dyDescent="0.25">
      <c r="A107">
        <v>1163</v>
      </c>
      <c r="B107" s="4">
        <v>28</v>
      </c>
      <c r="C107" s="4">
        <f t="shared" si="7"/>
        <v>3.4200000000000017</v>
      </c>
      <c r="D107" s="7">
        <f t="shared" si="8"/>
        <v>11.696400000000011</v>
      </c>
    </row>
    <row r="108" spans="1:4" x14ac:dyDescent="0.25">
      <c r="A108">
        <v>1168</v>
      </c>
      <c r="B108" s="4">
        <v>28</v>
      </c>
      <c r="C108" s="4">
        <f t="shared" si="7"/>
        <v>3.4200000000000017</v>
      </c>
      <c r="D108" s="7">
        <f t="shared" si="8"/>
        <v>11.696400000000011</v>
      </c>
    </row>
    <row r="109" spans="1:4" x14ac:dyDescent="0.25">
      <c r="A109">
        <v>1172</v>
      </c>
      <c r="B109" s="4">
        <v>28</v>
      </c>
      <c r="C109" s="4">
        <f t="shared" si="7"/>
        <v>3.4200000000000017</v>
      </c>
      <c r="D109" s="7">
        <f t="shared" si="8"/>
        <v>11.696400000000011</v>
      </c>
    </row>
    <row r="110" spans="1:4" x14ac:dyDescent="0.25">
      <c r="A110">
        <v>1104</v>
      </c>
      <c r="B110" s="4">
        <v>29</v>
      </c>
      <c r="C110" s="4">
        <f t="shared" si="7"/>
        <v>4.4200000000000017</v>
      </c>
      <c r="D110" s="7">
        <f t="shared" si="8"/>
        <v>19.536400000000015</v>
      </c>
    </row>
    <row r="111" spans="1:4" x14ac:dyDescent="0.25">
      <c r="A111">
        <v>1116</v>
      </c>
      <c r="B111" s="4">
        <v>29</v>
      </c>
      <c r="C111" s="4">
        <f t="shared" si="7"/>
        <v>4.4200000000000017</v>
      </c>
      <c r="D111" s="7">
        <f t="shared" si="8"/>
        <v>19.536400000000015</v>
      </c>
    </row>
    <row r="112" spans="1:4" x14ac:dyDescent="0.25">
      <c r="A112">
        <v>1150</v>
      </c>
      <c r="B112" s="4">
        <v>29</v>
      </c>
      <c r="C112" s="4">
        <f t="shared" si="7"/>
        <v>4.4200000000000017</v>
      </c>
      <c r="D112" s="7">
        <f t="shared" si="8"/>
        <v>19.536400000000015</v>
      </c>
    </row>
    <row r="113" spans="1:4" x14ac:dyDescent="0.25">
      <c r="A113">
        <v>1153</v>
      </c>
      <c r="B113" s="4">
        <v>29</v>
      </c>
      <c r="C113" s="4">
        <f t="shared" si="7"/>
        <v>4.4200000000000017</v>
      </c>
      <c r="D113" s="7">
        <f t="shared" si="8"/>
        <v>19.536400000000015</v>
      </c>
    </row>
    <row r="114" spans="1:4" x14ac:dyDescent="0.25">
      <c r="A114">
        <v>1181</v>
      </c>
      <c r="B114" s="4">
        <v>29</v>
      </c>
      <c r="C114" s="4">
        <f t="shared" si="7"/>
        <v>4.4200000000000017</v>
      </c>
      <c r="D114" s="7">
        <f t="shared" si="8"/>
        <v>19.536400000000015</v>
      </c>
    </row>
    <row r="115" spans="1:4" x14ac:dyDescent="0.25">
      <c r="A115">
        <v>1060</v>
      </c>
      <c r="B115" s="4">
        <v>30</v>
      </c>
      <c r="C115" s="4">
        <f t="shared" si="7"/>
        <v>5.4200000000000017</v>
      </c>
      <c r="D115" s="7">
        <f t="shared" si="8"/>
        <v>29.376400000000018</v>
      </c>
    </row>
    <row r="116" spans="1:4" x14ac:dyDescent="0.25">
      <c r="A116">
        <v>1100</v>
      </c>
      <c r="B116" s="4">
        <v>30</v>
      </c>
      <c r="C116" s="4">
        <f t="shared" si="7"/>
        <v>5.4200000000000017</v>
      </c>
      <c r="D116" s="7">
        <f t="shared" si="8"/>
        <v>29.376400000000018</v>
      </c>
    </row>
    <row r="117" spans="1:4" x14ac:dyDescent="0.25">
      <c r="A117">
        <v>1183</v>
      </c>
      <c r="B117" s="4">
        <v>30</v>
      </c>
      <c r="C117" s="4">
        <f t="shared" si="7"/>
        <v>5.4200000000000017</v>
      </c>
      <c r="D117" s="7">
        <f t="shared" si="8"/>
        <v>29.376400000000018</v>
      </c>
    </row>
    <row r="118" spans="1:4" x14ac:dyDescent="0.25">
      <c r="A118">
        <v>1073</v>
      </c>
      <c r="B118" s="4">
        <v>31</v>
      </c>
      <c r="C118" s="4">
        <f t="shared" si="7"/>
        <v>6.4200000000000017</v>
      </c>
      <c r="D118" s="7">
        <f t="shared" si="8"/>
        <v>41.216400000000021</v>
      </c>
    </row>
    <row r="119" spans="1:4" x14ac:dyDescent="0.25">
      <c r="A119">
        <v>1160</v>
      </c>
      <c r="B119" s="4">
        <v>31</v>
      </c>
      <c r="C119" s="4">
        <f t="shared" si="7"/>
        <v>6.4200000000000017</v>
      </c>
      <c r="D119" s="7">
        <f t="shared" si="8"/>
        <v>41.216400000000021</v>
      </c>
    </row>
    <row r="120" spans="1:4" x14ac:dyDescent="0.25">
      <c r="A120">
        <v>1162</v>
      </c>
      <c r="B120" s="4">
        <v>31</v>
      </c>
      <c r="C120" s="4">
        <f t="shared" si="7"/>
        <v>6.4200000000000017</v>
      </c>
      <c r="D120" s="7">
        <f t="shared" si="8"/>
        <v>41.216400000000021</v>
      </c>
    </row>
    <row r="121" spans="1:4" x14ac:dyDescent="0.25">
      <c r="A121">
        <v>1178</v>
      </c>
      <c r="B121" s="4">
        <v>31</v>
      </c>
      <c r="C121" s="4">
        <f t="shared" si="7"/>
        <v>6.4200000000000017</v>
      </c>
      <c r="D121" s="7">
        <f t="shared" si="8"/>
        <v>41.216400000000021</v>
      </c>
    </row>
    <row r="122" spans="1:4" x14ac:dyDescent="0.25">
      <c r="A122">
        <v>1161</v>
      </c>
      <c r="B122" s="4">
        <v>32</v>
      </c>
      <c r="C122" s="4">
        <f t="shared" si="7"/>
        <v>7.4200000000000017</v>
      </c>
      <c r="D122" s="7">
        <f t="shared" si="8"/>
        <v>55.056400000000025</v>
      </c>
    </row>
    <row r="123" spans="1:4" x14ac:dyDescent="0.25">
      <c r="A123">
        <v>1171</v>
      </c>
      <c r="B123" s="4">
        <v>32</v>
      </c>
      <c r="C123" s="4">
        <f t="shared" si="7"/>
        <v>7.4200000000000017</v>
      </c>
      <c r="D123" s="7">
        <f t="shared" si="8"/>
        <v>55.056400000000025</v>
      </c>
    </row>
    <row r="124" spans="1:4" x14ac:dyDescent="0.25">
      <c r="A124">
        <v>1177</v>
      </c>
      <c r="B124" s="4">
        <v>32</v>
      </c>
      <c r="C124" s="4">
        <f t="shared" si="7"/>
        <v>7.4200000000000017</v>
      </c>
      <c r="D124" s="7">
        <f t="shared" si="8"/>
        <v>55.056400000000025</v>
      </c>
    </row>
    <row r="125" spans="1:4" x14ac:dyDescent="0.25">
      <c r="A125">
        <v>1084</v>
      </c>
      <c r="B125" s="4">
        <v>33</v>
      </c>
      <c r="C125" s="4">
        <f t="shared" si="7"/>
        <v>8.4200000000000017</v>
      </c>
      <c r="D125" s="7">
        <f t="shared" si="8"/>
        <v>70.896400000000028</v>
      </c>
    </row>
    <row r="126" spans="1:4" x14ac:dyDescent="0.25">
      <c r="A126">
        <v>1062</v>
      </c>
      <c r="B126" s="4">
        <v>34</v>
      </c>
      <c r="C126" s="4">
        <f t="shared" si="7"/>
        <v>9.4200000000000017</v>
      </c>
      <c r="D126" s="7">
        <f t="shared" si="8"/>
        <v>88.736400000000032</v>
      </c>
    </row>
    <row r="127" spans="1:4" x14ac:dyDescent="0.25">
      <c r="A127">
        <v>1078</v>
      </c>
      <c r="B127" s="4">
        <v>36</v>
      </c>
      <c r="C127" s="4">
        <f t="shared" si="7"/>
        <v>11.420000000000002</v>
      </c>
      <c r="D127" s="7">
        <f t="shared" si="8"/>
        <v>130.41640000000004</v>
      </c>
    </row>
    <row r="128" spans="1:4" x14ac:dyDescent="0.25">
      <c r="A128">
        <v>1091</v>
      </c>
      <c r="B128" s="4">
        <v>41</v>
      </c>
      <c r="C128" s="4">
        <f t="shared" si="7"/>
        <v>16.420000000000002</v>
      </c>
      <c r="D128" s="7">
        <f t="shared" si="8"/>
        <v>269.61640000000006</v>
      </c>
    </row>
    <row r="129" spans="1:4" x14ac:dyDescent="0.25">
      <c r="A129">
        <v>1070</v>
      </c>
      <c r="B129" s="4">
        <v>84</v>
      </c>
      <c r="C129" s="4">
        <f t="shared" si="7"/>
        <v>59.42</v>
      </c>
      <c r="D129" s="7">
        <f t="shared" si="8"/>
        <v>3530.7364000000002</v>
      </c>
    </row>
    <row r="130" spans="1:4" x14ac:dyDescent="0.25">
      <c r="B130" s="4"/>
      <c r="C130" s="4"/>
      <c r="D130" s="7">
        <f>SUM(D2:D129)/128</f>
        <v>45.540774999999996</v>
      </c>
    </row>
    <row r="131" spans="1:4" x14ac:dyDescent="0.25">
      <c r="B131" s="4"/>
      <c r="C131" s="4"/>
      <c r="D131" s="7">
        <f>SQRT(D130)</f>
        <v>6.7483905488642248</v>
      </c>
    </row>
    <row r="132" spans="1:4" x14ac:dyDescent="0.25">
      <c r="B132" s="4"/>
      <c r="C132" s="4"/>
      <c r="D132" s="7"/>
    </row>
    <row r="133" spans="1:4" x14ac:dyDescent="0.25">
      <c r="B133" s="4"/>
      <c r="C133" s="4"/>
      <c r="D133" s="7"/>
    </row>
    <row r="134" spans="1:4" x14ac:dyDescent="0.25">
      <c r="B134" s="4"/>
      <c r="C134" s="4"/>
      <c r="D134" s="7"/>
    </row>
    <row r="135" spans="1:4" x14ac:dyDescent="0.25">
      <c r="B135" s="4"/>
      <c r="C135" s="4"/>
      <c r="D135" s="7"/>
    </row>
    <row r="136" spans="1:4" x14ac:dyDescent="0.25">
      <c r="B136" s="4"/>
      <c r="C136" s="4"/>
      <c r="D136" s="7"/>
    </row>
    <row r="137" spans="1:4" x14ac:dyDescent="0.25">
      <c r="B137" s="4"/>
      <c r="C137" s="4"/>
      <c r="D137" s="7"/>
    </row>
    <row r="138" spans="1:4" x14ac:dyDescent="0.25">
      <c r="B138" s="4"/>
      <c r="C138" s="4"/>
      <c r="D138" s="7"/>
    </row>
    <row r="139" spans="1:4" x14ac:dyDescent="0.25">
      <c r="B139" s="4"/>
      <c r="C139" s="4"/>
      <c r="D139" s="7"/>
    </row>
    <row r="140" spans="1:4" x14ac:dyDescent="0.25">
      <c r="B140" s="4"/>
      <c r="C140" s="4"/>
      <c r="D140" s="7"/>
    </row>
    <row r="141" spans="1:4" x14ac:dyDescent="0.25">
      <c r="B141" s="4"/>
      <c r="C141" s="4"/>
      <c r="D141" s="7"/>
    </row>
    <row r="142" spans="1:4" x14ac:dyDescent="0.25">
      <c r="B142" s="4"/>
      <c r="C142" s="4"/>
      <c r="D142" s="7"/>
    </row>
    <row r="143" spans="1:4" x14ac:dyDescent="0.25">
      <c r="D143" s="7"/>
    </row>
    <row r="144" spans="1:4" x14ac:dyDescent="0.25">
      <c r="D144" s="7"/>
    </row>
  </sheetData>
  <sortState xmlns:xlrd2="http://schemas.microsoft.com/office/spreadsheetml/2017/richdata2" ref="A2:D129">
    <sortCondition ref="B2:B1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DocumentLibraryPermissions xmlns="e06f367c-af1f-4697-9117-8f16289c64a7" xsi:nil="true"/>
    <lcf76f155ced4ddcb4097134ff3c332f xmlns="e06f367c-af1f-4697-9117-8f16289c64a7">
      <Terms xmlns="http://schemas.microsoft.com/office/infopath/2007/PartnerControls"/>
    </lcf76f155ced4ddcb4097134ff3c332f>
    <MigrationWizIdPermissions xmlns="e06f367c-af1f-4697-9117-8f16289c64a7" xsi:nil="true"/>
    <MigrationWizIdSecurityGroups xmlns="e06f367c-af1f-4697-9117-8f16289c64a7" xsi:nil="true"/>
    <MigrationWizId xmlns="e06f367c-af1f-4697-9117-8f16289c64a7" xsi:nil="true"/>
    <MigrationWizIdPermissionLevels xmlns="e06f367c-af1f-4697-9117-8f16289c64a7" xsi:nil="true"/>
    <MigrationWizIdVersion xmlns="e06f367c-af1f-4697-9117-8f16289c64a7" xsi:nil="true"/>
    <lcf76f155ced4ddcb4097134ff3c332f0 xmlns="e06f367c-af1f-4697-9117-8f16289c64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29C68B9E025447A2B36B218D001747" ma:contentTypeVersion="25" ma:contentTypeDescription="Create a new document." ma:contentTypeScope="" ma:versionID="83c7aa0ea0d7a8562cf2d2f3e55c89a5">
  <xsd:schema xmlns:xsd="http://www.w3.org/2001/XMLSchema" xmlns:xs="http://www.w3.org/2001/XMLSchema" xmlns:p="http://schemas.microsoft.com/office/2006/metadata/properties" xmlns:ns2="e06f367c-af1f-4697-9117-8f16289c64a7" targetNamespace="http://schemas.microsoft.com/office/2006/metadata/properties" ma:root="true" ma:fieldsID="2342e49602c18830ce7b30727b45785f" ns2:_="">
    <xsd:import namespace="e06f367c-af1f-4697-9117-8f16289c64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f367c-af1f-4697-9117-8f16289c6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aed5757-b437-4f8a-acaa-81ebe066f6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igrationWizId" ma:index="19" nillable="true" ma:displayName="MigrationWizId" ma:internalName="MigrationWizId">
      <xsd:simpleType>
        <xsd:restriction base="dms:Text"/>
      </xsd:simpleType>
    </xsd:element>
    <xsd:element name="MigrationWizIdPermissions" ma:index="20" nillable="true" ma:displayName="MigrationWizIdPermissions" ma:internalName="MigrationWizIdPermissions">
      <xsd:simpleType>
        <xsd:restriction base="dms:Text"/>
      </xsd:simpleType>
    </xsd:element>
    <xsd:element name="MigrationWizIdVersion" ma:index="21" nillable="true" ma:displayName="MigrationWizIdVersion" ma:internalName="MigrationWizIdVersion">
      <xsd:simpleType>
        <xsd:restriction base="dms:Text"/>
      </xsd:simpleType>
    </xsd:element>
    <xsd:element name="lcf76f155ced4ddcb4097134ff3c332f0" ma:index="22" nillable="true" ma:displayName="Image Tags_0" ma:hidden="true" ma:internalName="lcf76f155ced4ddcb4097134ff3c332f0" ma:readOnly="false">
      <xsd:simpleType>
        <xsd:restriction base="dms:Note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A84C88-B5C6-40A6-9F11-5F2104F833C8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06f367c-af1f-4697-9117-8f16289c64a7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18126C0-8C33-424D-AACE-9E4CF7B881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3E0D8-DCE8-4DA0-8BAC-B174254EF8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6f367c-af1f-4697-9117-8f16289c64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Data</vt:lpstr>
      <vt:lpstr>Pivot Charts</vt:lpstr>
      <vt:lpstr>Central Tendency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Clugy</dc:creator>
  <cp:keywords/>
  <dc:description/>
  <cp:lastModifiedBy>Eric Clugy</cp:lastModifiedBy>
  <cp:revision/>
  <dcterms:created xsi:type="dcterms:W3CDTF">2025-12-02T16:17:07Z</dcterms:created>
  <dcterms:modified xsi:type="dcterms:W3CDTF">2026-04-29T23:35:59Z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0x0101003729C68B9E025447A2B36B218D001747</vt:lpwstr>
  </property>
  <property fmtid="{D5CDD505-2E9C-101B-9397-08002B2CF9AE}" pid="3" name="MediaServiceImageTags">
    <vt:lpwstr/>
  </property>
</Properties>
</file>